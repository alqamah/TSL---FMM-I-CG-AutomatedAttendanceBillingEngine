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05191\Downloads\"/>
    </mc:Choice>
  </mc:AlternateContent>
  <bookViews>
    <workbookView xWindow="120" yWindow="90" windowWidth="16275" windowHeight="7755" firstSheet="2" activeTab="2"/>
  </bookViews>
  <sheets>
    <sheet name="Sheet3" sheetId="1" state="hidden" r:id="rId1"/>
    <sheet name="UPDATED " sheetId="2" state="hidden" r:id="rId2"/>
    <sheet name="UDATED-1" sheetId="3" r:id="rId3"/>
    <sheet name="KPI" sheetId="4" r:id="rId4"/>
  </sheets>
  <calcPr calcId="162913"/>
</workbook>
</file>

<file path=xl/calcChain.xml><?xml version="1.0" encoding="utf-8"?>
<calcChain xmlns="http://schemas.openxmlformats.org/spreadsheetml/2006/main">
  <c r="AR10" i="3" l="1"/>
  <c r="AR22" i="3"/>
  <c r="AR16" i="3"/>
  <c r="E10" i="4" l="1"/>
  <c r="AI32" i="3"/>
  <c r="AI31" i="3"/>
  <c r="AI30" i="3"/>
  <c r="AI29" i="3"/>
  <c r="AI28" i="3"/>
  <c r="AI35" i="3"/>
  <c r="AI34" i="3"/>
  <c r="AI33" i="3"/>
  <c r="AI27" i="3"/>
  <c r="AI26" i="3"/>
  <c r="AI25" i="3"/>
  <c r="AI24" i="3"/>
  <c r="AI23" i="3"/>
  <c r="AI22" i="3"/>
  <c r="AI21" i="3"/>
  <c r="AI20" i="3"/>
  <c r="AI36" i="3"/>
  <c r="AI19" i="3"/>
  <c r="AI18" i="3"/>
  <c r="AI17" i="3"/>
  <c r="AI16" i="3"/>
  <c r="AI15" i="3"/>
  <c r="AI14" i="3"/>
  <c r="AI13" i="3"/>
  <c r="AI12" i="3"/>
  <c r="AI11" i="3"/>
  <c r="AI10" i="3"/>
  <c r="AI9" i="3"/>
  <c r="AI8" i="3"/>
  <c r="AI7" i="3"/>
  <c r="AI6" i="3"/>
  <c r="AI5" i="3"/>
  <c r="AI4" i="3"/>
  <c r="AI3" i="3"/>
  <c r="AJ3" i="3" l="1"/>
  <c r="AK3" i="3" s="1"/>
  <c r="AJ22" i="3"/>
  <c r="AK22" i="3" s="1"/>
  <c r="AJ16" i="3"/>
  <c r="AK16" i="3" s="1"/>
  <c r="AI36" i="2"/>
  <c r="AI35" i="2"/>
  <c r="AI34" i="2"/>
  <c r="AI33" i="2"/>
  <c r="AI32" i="2"/>
  <c r="AI31" i="2"/>
  <c r="AI30" i="2"/>
  <c r="AI29" i="2"/>
  <c r="AI28" i="2"/>
  <c r="AI27" i="2"/>
  <c r="AI25" i="2"/>
  <c r="AI21" i="2"/>
  <c r="AI20" i="2"/>
  <c r="AI24" i="2"/>
  <c r="AI26" i="2"/>
  <c r="AI19" i="2"/>
  <c r="AI18" i="2"/>
  <c r="AI17" i="2"/>
  <c r="AI16" i="2"/>
  <c r="AI15" i="2"/>
  <c r="AI23" i="2"/>
  <c r="AI22" i="2"/>
  <c r="AI14" i="2"/>
  <c r="AI13" i="2"/>
  <c r="AI12" i="2"/>
  <c r="AI11" i="2"/>
  <c r="AI10" i="2"/>
  <c r="AI9" i="2"/>
  <c r="AI8" i="2"/>
  <c r="AI7" i="2"/>
  <c r="AI6" i="2"/>
  <c r="AI5" i="2"/>
  <c r="AI4" i="2"/>
  <c r="AI3" i="2"/>
  <c r="AJ22" i="2" l="1"/>
  <c r="AK22" i="2" s="1"/>
  <c r="AJ3" i="2"/>
  <c r="AK3" i="2" s="1"/>
  <c r="AJ16" i="2"/>
  <c r="AK16" i="2" s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H3" i="1"/>
  <c r="AI18" i="1" l="1"/>
  <c r="AJ18" i="1" s="1"/>
  <c r="AI3" i="1"/>
  <c r="AJ3" i="1" s="1"/>
  <c r="AI26" i="1"/>
  <c r="AJ26" i="1" s="1"/>
</calcChain>
</file>

<file path=xl/comments1.xml><?xml version="1.0" encoding="utf-8"?>
<comments xmlns="http://schemas.openxmlformats.org/spreadsheetml/2006/main">
  <authors>
    <author>Beco</author>
  </authors>
  <commentList>
    <comment ref="AF2" authorId="0" shapeId="0">
      <text>
        <r>
          <rPr>
            <b/>
            <sz val="9"/>
            <color indexed="81"/>
            <rFont val="Tahoma"/>
            <family val="2"/>
          </rPr>
          <t>Beco:</t>
        </r>
        <r>
          <rPr>
            <sz val="9"/>
            <color indexed="81"/>
            <rFont val="Tahoma"/>
            <family val="2"/>
          </rPr>
          <t xml:space="preserve">
JAN 30 and JAN 31 pending for billing.</t>
        </r>
      </text>
    </comment>
  </commentList>
</comments>
</file>

<file path=xl/comments2.xml><?xml version="1.0" encoding="utf-8"?>
<comments xmlns="http://schemas.openxmlformats.org/spreadsheetml/2006/main">
  <authors>
    <author>Beco</author>
  </authors>
  <commentList>
    <comment ref="AG2" authorId="0" shapeId="0">
      <text>
        <r>
          <rPr>
            <b/>
            <sz val="9"/>
            <color indexed="81"/>
            <rFont val="Tahoma"/>
            <family val="2"/>
          </rPr>
          <t>Beco:</t>
        </r>
        <r>
          <rPr>
            <sz val="9"/>
            <color indexed="81"/>
            <rFont val="Tahoma"/>
            <family val="2"/>
          </rPr>
          <t xml:space="preserve">
JAN 30 and JAN 31 pending for billing.</t>
        </r>
      </text>
    </comment>
  </commentList>
</comments>
</file>

<file path=xl/comments3.xml><?xml version="1.0" encoding="utf-8"?>
<comments xmlns="http://schemas.openxmlformats.org/spreadsheetml/2006/main">
  <authors>
    <author>Beco</author>
  </authors>
  <commentList>
    <comment ref="AG2" authorId="0" shapeId="0">
      <text>
        <r>
          <rPr>
            <b/>
            <sz val="9"/>
            <color indexed="81"/>
            <rFont val="Tahoma"/>
            <family val="2"/>
          </rPr>
          <t>Beco:</t>
        </r>
        <r>
          <rPr>
            <sz val="9"/>
            <color indexed="81"/>
            <rFont val="Tahoma"/>
            <family val="2"/>
          </rPr>
          <t xml:space="preserve">
JAN 30 and JAN 31 pending for billing.</t>
        </r>
      </text>
    </comment>
  </commentList>
</comments>
</file>

<file path=xl/sharedStrings.xml><?xml version="1.0" encoding="utf-8"?>
<sst xmlns="http://schemas.openxmlformats.org/spreadsheetml/2006/main" count="224" uniqueCount="127">
  <si>
    <t>Manpower</t>
  </si>
  <si>
    <t>LEVEL</t>
  </si>
  <si>
    <t>HRS</t>
  </si>
  <si>
    <t>TOTAL HRS</t>
  </si>
  <si>
    <t>Total Shift</t>
  </si>
  <si>
    <t>Highly Skilled</t>
  </si>
  <si>
    <t>SUJIT KR. VISHWAKARMA</t>
  </si>
  <si>
    <t xml:space="preserve">NALIN MAHATO </t>
  </si>
  <si>
    <t xml:space="preserve">RUPESH KUMAR </t>
  </si>
  <si>
    <t>LAXMAN BHADUK</t>
  </si>
  <si>
    <t xml:space="preserve">RAJU KALINDI </t>
  </si>
  <si>
    <t>NIPEN CH. SHUKUL</t>
  </si>
  <si>
    <t>SHIV SHANKAR (ELECTRICIAN)</t>
  </si>
  <si>
    <t>MAN MOHAN (Mechnic-I)</t>
  </si>
  <si>
    <t>RAJESH PRADHAN ( RIGGER)</t>
  </si>
  <si>
    <t>ANIL VERMA ( RIGGER)</t>
  </si>
  <si>
    <t>CHITRANJAN SHARMA ( FITTER)</t>
  </si>
  <si>
    <t>ABHISHEK BIRULI ( FITTER)</t>
  </si>
  <si>
    <t>HINDU BESRA ( FITTER )</t>
  </si>
  <si>
    <t>ABHISHEK SHARMA</t>
  </si>
  <si>
    <t>CHITRANJAN (Welder/gas cutter)</t>
  </si>
  <si>
    <t>Skilled</t>
  </si>
  <si>
    <t>ASHOK ROY (Electrician)</t>
  </si>
  <si>
    <t xml:space="preserve">B N MAHAPATRO </t>
  </si>
  <si>
    <t xml:space="preserve">V RAJA RAO </t>
  </si>
  <si>
    <t>BASUDEO</t>
  </si>
  <si>
    <t>KARAN KUMAR ( STORE)</t>
  </si>
  <si>
    <t>BALWINDER SINGH</t>
  </si>
  <si>
    <t>CHANDI CHARAN RAZWAR</t>
  </si>
  <si>
    <t>NASIR ALI</t>
  </si>
  <si>
    <t>Semi  Skilled</t>
  </si>
  <si>
    <t>NARAYAN RAO</t>
  </si>
  <si>
    <t>SUJIT KUMAR SINGH</t>
  </si>
  <si>
    <t>RAKESH RK SINGH</t>
  </si>
  <si>
    <t>VISHAL HANSDA</t>
  </si>
  <si>
    <t>TATA VENKAT RAO</t>
  </si>
  <si>
    <t>APURBA KR MAHATO</t>
  </si>
  <si>
    <t>NAVEEN KUMAR</t>
  </si>
  <si>
    <t>SUBHANDU MANDAL</t>
  </si>
  <si>
    <t>RATAN MAHATO</t>
  </si>
  <si>
    <t>NAND LAL</t>
  </si>
  <si>
    <t>ARC ATTENDANCE FOR MONTH OF FEB-26</t>
  </si>
  <si>
    <t>CHOTU LOHRA</t>
  </si>
  <si>
    <t>TSL SUPERVISOR'S SIGN</t>
  </si>
  <si>
    <t>ASST. MANAGER'S/MANAGER'S/SR. MANAGER'S SIGN</t>
  </si>
  <si>
    <t>VENDOR'S INCHARGE SIGN</t>
  </si>
  <si>
    <t>NANDLAL TIU</t>
  </si>
  <si>
    <t>MAN MOHAN (Mechanic-I)</t>
  </si>
  <si>
    <t>S. No.</t>
  </si>
  <si>
    <t>RW0723808557</t>
  </si>
  <si>
    <t>RW0623791155</t>
  </si>
  <si>
    <t>RW0512133959</t>
  </si>
  <si>
    <t>RW0621276455</t>
  </si>
  <si>
    <t>RW0822573453</t>
  </si>
  <si>
    <t>RS0604000979</t>
  </si>
  <si>
    <t>JW0724246971</t>
  </si>
  <si>
    <t>RW1103005471</t>
  </si>
  <si>
    <t>RW0105038642</t>
  </si>
  <si>
    <t>RW0911183405</t>
  </si>
  <si>
    <t>RW1223956402</t>
  </si>
  <si>
    <t>VW0123657591</t>
  </si>
  <si>
    <t>RW0204008111</t>
  </si>
  <si>
    <t>RW0218129961</t>
  </si>
  <si>
    <t>VW0123649596</t>
  </si>
  <si>
    <t>RW0907097796</t>
  </si>
  <si>
    <t>RW1204027584</t>
  </si>
  <si>
    <t>RW0611151520</t>
  </si>
  <si>
    <t>RW1103006020</t>
  </si>
  <si>
    <t>RW1110162302</t>
  </si>
  <si>
    <t>S. No</t>
  </si>
  <si>
    <t>RS1010159855</t>
  </si>
  <si>
    <t>RW1011186925</t>
  </si>
  <si>
    <t>RW0911182377</t>
  </si>
  <si>
    <t>RW1019191001</t>
  </si>
  <si>
    <t>RW0403000921</t>
  </si>
  <si>
    <t>RD0918134974</t>
  </si>
  <si>
    <t>RW0807096365</t>
  </si>
  <si>
    <t>RW0608113053</t>
  </si>
  <si>
    <t>RD1203000744</t>
  </si>
  <si>
    <t>VD0722561172</t>
  </si>
  <si>
    <t>RW0916154862</t>
  </si>
  <si>
    <t>RD0721287965</t>
  </si>
  <si>
    <t>RW0305045827</t>
  </si>
  <si>
    <t>RFID NO</t>
  </si>
  <si>
    <t>MANPOWER</t>
  </si>
  <si>
    <t>RW0120210265</t>
  </si>
  <si>
    <t>Manpower supply KPI</t>
  </si>
  <si>
    <t xml:space="preserve">Sl. No. </t>
  </si>
  <si>
    <t>KPI Parameter</t>
  </si>
  <si>
    <t>UOM</t>
  </si>
  <si>
    <t>Target</t>
  </si>
  <si>
    <t>Weightage</t>
  </si>
  <si>
    <t>Required Value</t>
  </si>
  <si>
    <t>Remarks</t>
  </si>
  <si>
    <t>Safety compliance (FAC,LTI) &amp; unsafe activity,Permit violation, SOP violation, etc.</t>
  </si>
  <si>
    <t>%</t>
  </si>
  <si>
    <t>Compliance 100%, Score=10
Compliance &lt;100%, Score=0</t>
  </si>
  <si>
    <t xml:space="preserve">Violation of PPEs compliance </t>
  </si>
  <si>
    <t>Nos</t>
  </si>
  <si>
    <t>Instances &lt;1, Score- 20 marks.
1&lt; Instances &lt;=3, Score- 10 marks.
Instances &gt;3, Score- 0 marks</t>
  </si>
  <si>
    <t>Deployment of manpower as per plan (review through total achieved hours based on 8 hours duty)</t>
  </si>
  <si>
    <t>Compliance &gt;= 85%, Score- 20 marks
75% &lt;= Compliance &lt;85%, Score- 10 marks
Compliance &lt; 75%, Score- 5 marks</t>
  </si>
  <si>
    <t>Response time in exigencies/odd hours</t>
  </si>
  <si>
    <t>Hour</t>
  </si>
  <si>
    <t>If response time&lt;2 hour, Score-10 marks
If 3 hrs&gt; response time &gt; 2 hrs, Score- 5 marks
If response time &gt; 3 hours, Score- 0 marks</t>
  </si>
  <si>
    <t>Submission of all types of required documents within one week</t>
  </si>
  <si>
    <t>Housekeeping non-compliance at working area on daily basis</t>
  </si>
  <si>
    <t xml:space="preserve">Checklist based compliance </t>
  </si>
  <si>
    <t>Total available weightage</t>
  </si>
  <si>
    <t>For KPI score &gt; =90 %, Payment will 100% of the total bill amount generated.
For 90% &gt; KPI score&gt;= 80%, Payment will be 90% of the total bill amount generated.
For 80% &gt; KPI score&gt;= 70%, Payment will be 85% of the total bill amount generated.
For KPI score &lt; 70%, Payment will be 80% of the total bill amount generated.</t>
  </si>
  <si>
    <t>A-F BF</t>
  </si>
  <si>
    <t>G BF</t>
  </si>
  <si>
    <t>H BF</t>
  </si>
  <si>
    <t>IBF</t>
  </si>
  <si>
    <t>Coke Plant(New)</t>
  </si>
  <si>
    <t>CDQ#1O</t>
  </si>
  <si>
    <t>Sinter Plant-1</t>
  </si>
  <si>
    <t>Sinter Plant-2</t>
  </si>
  <si>
    <t>Sinter Plant-3</t>
  </si>
  <si>
    <t>Sinter Plant-4</t>
  </si>
  <si>
    <t>Pellet Plant</t>
  </si>
  <si>
    <t>HSM</t>
  </si>
  <si>
    <t>CRM</t>
  </si>
  <si>
    <t>TSCR</t>
  </si>
  <si>
    <t>LD 1</t>
  </si>
  <si>
    <t xml:space="preserve">LD 2 </t>
  </si>
  <si>
    <t>LD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</si>
</sst>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b/>
      <sz val="16"/>
      <color rgb="FF0000FF"/>
      <name val="Calibri"/>
      <family val="2"/>
    </font>
    <font>
      <b/>
      <sz val="11"/>
      <name val="Calibri"/>
      <family val="2"/>
    </font>
    <font>
      <b/>
      <sz val="18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5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144">
    <xf numFmtId="0" fontId="0" fillId="0" borderId="0" xfId="0"/>
    <xf numFmtId="0" fontId="2" fillId="3" borderId="3" xfId="0" applyFont="1" applyFill="1" applyBorder="1" applyAlignment="1">
      <alignment horizontal="center"/>
    </xf>
    <xf numFmtId="16" fontId="2" fillId="3" borderId="3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4" borderId="5" xfId="0" applyFont="1" applyFill="1" applyBorder="1"/>
    <xf numFmtId="0" fontId="6" fillId="4" borderId="2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/>
    </xf>
    <xf numFmtId="0" fontId="4" fillId="4" borderId="9" xfId="0" applyFont="1" applyFill="1" applyBorder="1"/>
    <xf numFmtId="0" fontId="2" fillId="4" borderId="10" xfId="0" applyFont="1" applyFill="1" applyBorder="1" applyAlignment="1">
      <alignment horizontal="center"/>
    </xf>
    <xf numFmtId="0" fontId="8" fillId="4" borderId="11" xfId="0" applyFont="1" applyFill="1" applyBorder="1"/>
    <xf numFmtId="0" fontId="4" fillId="4" borderId="9" xfId="0" applyFont="1" applyFill="1" applyBorder="1" applyAlignment="1">
      <alignment horizontal="left"/>
    </xf>
    <xf numFmtId="0" fontId="4" fillId="4" borderId="12" xfId="0" applyFont="1" applyFill="1" applyBorder="1"/>
    <xf numFmtId="0" fontId="4" fillId="5" borderId="9" xfId="0" applyFont="1" applyFill="1" applyBorder="1"/>
    <xf numFmtId="0" fontId="2" fillId="6" borderId="13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/>
    </xf>
    <xf numFmtId="0" fontId="8" fillId="5" borderId="9" xfId="0" applyFont="1" applyFill="1" applyBorder="1"/>
    <xf numFmtId="0" fontId="8" fillId="5" borderId="0" xfId="0" applyFont="1" applyFill="1" applyBorder="1"/>
    <xf numFmtId="0" fontId="2" fillId="7" borderId="12" xfId="0" applyFont="1" applyFill="1" applyBorder="1" applyAlignment="1">
      <alignment horizontal="center"/>
    </xf>
    <xf numFmtId="0" fontId="8" fillId="5" borderId="2" xfId="0" applyFont="1" applyFill="1" applyBorder="1"/>
    <xf numFmtId="0" fontId="4" fillId="8" borderId="14" xfId="0" applyFont="1" applyFill="1" applyBorder="1"/>
    <xf numFmtId="0" fontId="2" fillId="8" borderId="1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/>
    </xf>
    <xf numFmtId="0" fontId="4" fillId="8" borderId="16" xfId="0" applyFont="1" applyFill="1" applyBorder="1"/>
    <xf numFmtId="0" fontId="8" fillId="8" borderId="16" xfId="0" applyFont="1" applyFill="1" applyBorder="1"/>
    <xf numFmtId="0" fontId="9" fillId="8" borderId="16" xfId="0" applyFont="1" applyFill="1" applyBorder="1"/>
    <xf numFmtId="0" fontId="2" fillId="8" borderId="17" xfId="0" applyFont="1" applyFill="1" applyBorder="1" applyAlignment="1">
      <alignment horizontal="center" vertical="center"/>
    </xf>
    <xf numFmtId="0" fontId="8" fillId="8" borderId="12" xfId="0" applyFont="1" applyFill="1" applyBorder="1"/>
    <xf numFmtId="0" fontId="0" fillId="8" borderId="13" xfId="0" applyFill="1" applyBorder="1"/>
    <xf numFmtId="0" fontId="0" fillId="8" borderId="2" xfId="0" applyFill="1" applyBorder="1"/>
    <xf numFmtId="0" fontId="1" fillId="8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10" borderId="5" xfId="0" applyFont="1" applyFill="1" applyBorder="1" applyAlignment="1">
      <alignment horizontal="center"/>
    </xf>
    <xf numFmtId="0" fontId="8" fillId="6" borderId="9" xfId="0" applyFont="1" applyFill="1" applyBorder="1"/>
    <xf numFmtId="0" fontId="4" fillId="11" borderId="12" xfId="0" applyFont="1" applyFill="1" applyBorder="1"/>
    <xf numFmtId="0" fontId="8" fillId="12" borderId="9" xfId="0" applyFont="1" applyFill="1" applyBorder="1"/>
    <xf numFmtId="0" fontId="4" fillId="11" borderId="14" xfId="0" applyFont="1" applyFill="1" applyBorder="1"/>
    <xf numFmtId="0" fontId="4" fillId="11" borderId="16" xfId="0" applyFont="1" applyFill="1" applyBorder="1"/>
    <xf numFmtId="0" fontId="8" fillId="11" borderId="16" xfId="0" applyFont="1" applyFill="1" applyBorder="1"/>
    <xf numFmtId="0" fontId="9" fillId="11" borderId="16" xfId="0" applyFont="1" applyFill="1" applyBorder="1"/>
    <xf numFmtId="0" fontId="8" fillId="11" borderId="12" xfId="0" applyFont="1" applyFill="1" applyBorder="1"/>
    <xf numFmtId="0" fontId="6" fillId="11" borderId="8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/>
    </xf>
    <xf numFmtId="0" fontId="2" fillId="12" borderId="13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2" fillId="11" borderId="17" xfId="0" applyFont="1" applyFill="1" applyBorder="1" applyAlignment="1">
      <alignment horizontal="center" vertical="center"/>
    </xf>
    <xf numFmtId="0" fontId="0" fillId="11" borderId="13" xfId="0" applyFill="1" applyBorder="1"/>
    <xf numFmtId="0" fontId="0" fillId="11" borderId="2" xfId="0" applyFill="1" applyBorder="1"/>
    <xf numFmtId="0" fontId="1" fillId="11" borderId="2" xfId="0" applyFont="1" applyFill="1" applyBorder="1" applyAlignment="1">
      <alignment horizontal="center"/>
    </xf>
    <xf numFmtId="0" fontId="4" fillId="6" borderId="9" xfId="0" applyFont="1" applyFill="1" applyBorder="1"/>
    <xf numFmtId="0" fontId="8" fillId="6" borderId="0" xfId="0" applyFont="1" applyFill="1" applyBorder="1"/>
    <xf numFmtId="0" fontId="8" fillId="6" borderId="2" xfId="0" applyFont="1" applyFill="1" applyBorder="1"/>
    <xf numFmtId="0" fontId="2" fillId="3" borderId="3" xfId="0" applyFont="1" applyFill="1" applyBorder="1" applyAlignment="1">
      <alignment horizontal="center" vertical="center"/>
    </xf>
    <xf numFmtId="16" fontId="2" fillId="3" borderId="3" xfId="0" applyNumberFormat="1" applyFont="1" applyFill="1" applyBorder="1" applyAlignment="1">
      <alignment horizontal="center" vertical="center" wrapText="1"/>
    </xf>
    <xf numFmtId="16" fontId="2" fillId="3" borderId="3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0" xfId="0" applyFont="1" applyBorder="1" applyAlignment="1">
      <alignment vertical="top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4" fillId="0" borderId="0" xfId="0" applyFont="1"/>
    <xf numFmtId="0" fontId="4" fillId="0" borderId="2" xfId="0" applyFont="1" applyBorder="1" applyAlignment="1">
      <alignment horizontal="center" vertical="top" wrapText="1"/>
    </xf>
    <xf numFmtId="0" fontId="4" fillId="4" borderId="19" xfId="0" applyFont="1" applyFill="1" applyBorder="1"/>
    <xf numFmtId="0" fontId="8" fillId="6" borderId="12" xfId="0" applyFont="1" applyFill="1" applyBorder="1"/>
    <xf numFmtId="0" fontId="2" fillId="11" borderId="10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16" fillId="0" borderId="0" xfId="0" applyFont="1"/>
    <xf numFmtId="0" fontId="8" fillId="0" borderId="4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9" fillId="0" borderId="20" xfId="0" applyFont="1" applyBorder="1" applyAlignment="1">
      <alignment wrapText="1"/>
    </xf>
    <xf numFmtId="0" fontId="9" fillId="11" borderId="20" xfId="0" applyFont="1" applyFill="1" applyBorder="1" applyAlignment="1">
      <alignment wrapText="1"/>
    </xf>
    <xf numFmtId="0" fontId="9" fillId="0" borderId="0" xfId="0" applyFont="1" applyBorder="1" applyAlignment="1">
      <alignment vertical="top"/>
    </xf>
    <xf numFmtId="0" fontId="9" fillId="0" borderId="0" xfId="0" applyFont="1"/>
    <xf numFmtId="0" fontId="8" fillId="13" borderId="2" xfId="0" applyFont="1" applyFill="1" applyBorder="1"/>
    <xf numFmtId="0" fontId="9" fillId="0" borderId="21" xfId="0" applyFont="1" applyBorder="1" applyAlignment="1">
      <alignment wrapText="1"/>
    </xf>
    <xf numFmtId="0" fontId="8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20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/>
    </xf>
    <xf numFmtId="9" fontId="16" fillId="0" borderId="2" xfId="0" applyNumberFormat="1" applyFont="1" applyBorder="1" applyAlignment="1">
      <alignment horizontal="center" vertical="center"/>
    </xf>
    <xf numFmtId="0" fontId="3" fillId="13" borderId="2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left" vertical="center" wrapText="1"/>
    </xf>
    <xf numFmtId="0" fontId="0" fillId="13" borderId="2" xfId="0" applyFill="1" applyBorder="1" applyAlignment="1">
      <alignment horizontal="left" vertical="center" wrapText="1"/>
    </xf>
    <xf numFmtId="0" fontId="0" fillId="13" borderId="2" xfId="0" applyFill="1" applyBorder="1" applyAlignment="1">
      <alignment horizontal="center" vertical="center"/>
    </xf>
    <xf numFmtId="1" fontId="0" fillId="13" borderId="2" xfId="0" applyNumberFormat="1" applyFill="1" applyBorder="1" applyAlignment="1">
      <alignment horizontal="center" vertical="center"/>
    </xf>
    <xf numFmtId="9" fontId="0" fillId="13" borderId="2" xfId="1" applyFont="1" applyFill="1" applyBorder="1" applyAlignment="1">
      <alignment horizontal="center" vertical="center"/>
    </xf>
    <xf numFmtId="0" fontId="16" fillId="0" borderId="2" xfId="0" applyFont="1" applyBorder="1" applyAlignment="1">
      <alignment vertical="top"/>
    </xf>
    <xf numFmtId="0" fontId="16" fillId="0" borderId="2" xfId="0" applyFont="1" applyBorder="1" applyAlignment="1">
      <alignment horizontal="left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vertical="center" wrapText="1"/>
    </xf>
    <xf numFmtId="0" fontId="20" fillId="0" borderId="2" xfId="0" applyFont="1" applyBorder="1" applyAlignment="1">
      <alignment vertical="center"/>
    </xf>
    <xf numFmtId="0" fontId="21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vertical="center"/>
    </xf>
    <xf numFmtId="0" fontId="21" fillId="0" borderId="2" xfId="0" applyFont="1" applyBorder="1" applyAlignment="1">
      <alignment horizontal="center"/>
    </xf>
    <xf numFmtId="165" fontId="0" fillId="0" borderId="0" xfId="0" applyNumberFormat="1"/>
    <xf numFmtId="0" fontId="5" fillId="8" borderId="2" xfId="0" applyFont="1" applyFill="1" applyBorder="1" applyAlignment="1">
      <alignment horizontal="center" vertical="center" textRotation="90" wrapText="1"/>
    </xf>
    <xf numFmtId="0" fontId="8" fillId="9" borderId="15" xfId="0" applyFont="1" applyFill="1" applyBorder="1" applyAlignment="1">
      <alignment horizontal="center" vertical="center"/>
    </xf>
    <xf numFmtId="0" fontId="8" fillId="9" borderId="0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164" fontId="17" fillId="9" borderId="2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top"/>
    </xf>
    <xf numFmtId="0" fontId="18" fillId="0" borderId="2" xfId="0" applyFont="1" applyBorder="1" applyAlignment="1">
      <alignment horizontal="center" vertical="top"/>
    </xf>
    <xf numFmtId="0" fontId="13" fillId="2" borderId="0" xfId="0" applyFont="1" applyFill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 vertical="center" textRotation="90"/>
    </xf>
    <xf numFmtId="0" fontId="5" fillId="4" borderId="7" xfId="0" applyFont="1" applyFill="1" applyBorder="1" applyAlignment="1">
      <alignment horizontal="center" vertical="center" textRotation="90"/>
    </xf>
    <xf numFmtId="0" fontId="5" fillId="4" borderId="5" xfId="0" applyFont="1" applyFill="1" applyBorder="1" applyAlignment="1">
      <alignment horizontal="center" vertical="center" textRotation="90"/>
    </xf>
    <xf numFmtId="0" fontId="8" fillId="4" borderId="2" xfId="0" applyFont="1" applyFill="1" applyBorder="1" applyAlignment="1">
      <alignment horizontal="center" vertical="center"/>
    </xf>
    <xf numFmtId="164" fontId="17" fillId="4" borderId="2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textRotation="90"/>
    </xf>
    <xf numFmtId="0" fontId="5" fillId="5" borderId="7" xfId="0" applyFont="1" applyFill="1" applyBorder="1" applyAlignment="1">
      <alignment horizontal="center" vertical="center" textRotation="90"/>
    </xf>
    <xf numFmtId="0" fontId="5" fillId="5" borderId="5" xfId="0" applyFont="1" applyFill="1" applyBorder="1" applyAlignment="1">
      <alignment horizontal="center" vertical="center" textRotation="90"/>
    </xf>
    <xf numFmtId="0" fontId="8" fillId="5" borderId="2" xfId="0" applyFont="1" applyFill="1" applyBorder="1" applyAlignment="1">
      <alignment horizontal="center" vertical="center"/>
    </xf>
    <xf numFmtId="164" fontId="17" fillId="5" borderId="2" xfId="0" applyNumberFormat="1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 textRotation="90" wrapText="1"/>
    </xf>
    <xf numFmtId="0" fontId="5" fillId="8" borderId="7" xfId="0" applyFont="1" applyFill="1" applyBorder="1" applyAlignment="1">
      <alignment horizontal="center" vertical="center" textRotation="90" wrapText="1"/>
    </xf>
    <xf numFmtId="0" fontId="5" fillId="8" borderId="5" xfId="0" applyFont="1" applyFill="1" applyBorder="1" applyAlignment="1">
      <alignment horizontal="center" vertical="center" textRotation="90" wrapText="1"/>
    </xf>
    <xf numFmtId="0" fontId="13" fillId="12" borderId="17" xfId="0" applyFont="1" applyFill="1" applyBorder="1" applyAlignment="1">
      <alignment horizontal="center" vertical="center"/>
    </xf>
    <xf numFmtId="0" fontId="13" fillId="12" borderId="18" xfId="0" applyFont="1" applyFill="1" applyBorder="1" applyAlignment="1">
      <alignment horizontal="center" vertical="center"/>
    </xf>
    <xf numFmtId="0" fontId="13" fillId="12" borderId="8" xfId="0" applyFont="1" applyFill="1" applyBorder="1" applyAlignment="1">
      <alignment horizontal="center" vertical="center"/>
    </xf>
    <xf numFmtId="164" fontId="13" fillId="12" borderId="17" xfId="0" applyNumberFormat="1" applyFont="1" applyFill="1" applyBorder="1" applyAlignment="1">
      <alignment horizontal="center" vertical="center"/>
    </xf>
    <xf numFmtId="164" fontId="13" fillId="12" borderId="18" xfId="0" applyNumberFormat="1" applyFont="1" applyFill="1" applyBorder="1" applyAlignment="1">
      <alignment horizontal="center" vertical="center"/>
    </xf>
    <xf numFmtId="164" fontId="13" fillId="12" borderId="8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 vertical="center"/>
    </xf>
    <xf numFmtId="164" fontId="13" fillId="4" borderId="2" xfId="0" applyNumberFormat="1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 textRotation="90"/>
    </xf>
    <xf numFmtId="0" fontId="5" fillId="6" borderId="7" xfId="0" applyFont="1" applyFill="1" applyBorder="1" applyAlignment="1">
      <alignment horizontal="center" vertical="center" textRotation="90"/>
    </xf>
    <xf numFmtId="0" fontId="5" fillId="6" borderId="5" xfId="0" applyFont="1" applyFill="1" applyBorder="1" applyAlignment="1">
      <alignment horizontal="center" vertical="center" textRotation="90"/>
    </xf>
    <xf numFmtId="0" fontId="13" fillId="6" borderId="2" xfId="0" applyFont="1" applyFill="1" applyBorder="1" applyAlignment="1">
      <alignment horizontal="center" vertical="center"/>
    </xf>
    <xf numFmtId="164" fontId="13" fillId="6" borderId="2" xfId="0" applyNumberFormat="1" applyFont="1" applyFill="1" applyBorder="1" applyAlignment="1">
      <alignment horizontal="center" vertical="center"/>
    </xf>
    <xf numFmtId="0" fontId="18" fillId="14" borderId="2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0" fillId="0" borderId="2" xfId="0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39"/>
  <sheetViews>
    <sheetView workbookViewId="0">
      <pane ySplit="2" topLeftCell="A15" activePane="bottomLeft" state="frozen"/>
      <selection pane="bottomLeft" activeCell="B30" sqref="B30"/>
    </sheetView>
  </sheetViews>
  <sheetFormatPr defaultRowHeight="15" x14ac:dyDescent="0.25"/>
  <cols>
    <col min="1" max="1" width="3.140625" customWidth="1"/>
    <col min="2" max="2" width="25" bestFit="1" customWidth="1"/>
    <col min="3" max="3" width="5.5703125" customWidth="1"/>
    <col min="4" max="31" width="3.28515625" customWidth="1"/>
    <col min="32" max="33" width="6.5703125" bestFit="1" customWidth="1"/>
    <col min="34" max="34" width="7" bestFit="1" customWidth="1"/>
    <col min="35" max="35" width="5.7109375" style="67" customWidth="1"/>
    <col min="36" max="36" width="7.7109375" customWidth="1"/>
  </cols>
  <sheetData>
    <row r="1" spans="1:36" ht="19.5" thickBot="1" x14ac:dyDescent="0.35">
      <c r="A1" s="111" t="s">
        <v>41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2"/>
    </row>
    <row r="2" spans="1:36" ht="24.75" customHeight="1" x14ac:dyDescent="0.25">
      <c r="A2" s="69" t="s">
        <v>69</v>
      </c>
      <c r="B2" s="33" t="s">
        <v>0</v>
      </c>
      <c r="C2" s="32" t="s">
        <v>1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  <c r="Z2" s="1">
        <v>23</v>
      </c>
      <c r="AA2" s="1">
        <v>24</v>
      </c>
      <c r="AB2" s="1">
        <v>25</v>
      </c>
      <c r="AC2" s="1">
        <v>26</v>
      </c>
      <c r="AD2" s="1">
        <v>27</v>
      </c>
      <c r="AE2" s="1">
        <v>28</v>
      </c>
      <c r="AF2" s="2">
        <v>46052</v>
      </c>
      <c r="AG2" s="2">
        <v>46053</v>
      </c>
      <c r="AH2" s="31" t="s">
        <v>2</v>
      </c>
      <c r="AI2" s="66" t="s">
        <v>3</v>
      </c>
      <c r="AJ2" s="68" t="s">
        <v>4</v>
      </c>
    </row>
    <row r="3" spans="1:36" x14ac:dyDescent="0.25">
      <c r="A3" s="3">
        <v>1</v>
      </c>
      <c r="B3" s="4" t="s">
        <v>42</v>
      </c>
      <c r="C3" s="113" t="s">
        <v>5</v>
      </c>
      <c r="D3" s="5"/>
      <c r="E3" s="5"/>
      <c r="F3" s="5">
        <v>5</v>
      </c>
      <c r="G3" s="5">
        <v>8</v>
      </c>
      <c r="H3" s="5">
        <v>8</v>
      </c>
      <c r="I3" s="5">
        <v>8</v>
      </c>
      <c r="J3" s="5">
        <v>8</v>
      </c>
      <c r="K3" s="5"/>
      <c r="L3" s="5">
        <v>8</v>
      </c>
      <c r="M3" s="5">
        <v>8</v>
      </c>
      <c r="N3" s="5">
        <v>8</v>
      </c>
      <c r="O3" s="5">
        <v>8</v>
      </c>
      <c r="P3" s="5">
        <v>8</v>
      </c>
      <c r="Q3" s="5">
        <v>8</v>
      </c>
      <c r="R3" s="5"/>
      <c r="S3" s="5">
        <v>8</v>
      </c>
      <c r="T3" s="5">
        <v>8</v>
      </c>
      <c r="U3" s="5">
        <v>8</v>
      </c>
      <c r="V3" s="5">
        <v>8</v>
      </c>
      <c r="W3" s="5">
        <v>8</v>
      </c>
      <c r="X3" s="5">
        <v>8</v>
      </c>
      <c r="Y3" s="5"/>
      <c r="Z3" s="5"/>
      <c r="AA3" s="5"/>
      <c r="AB3" s="5">
        <v>8.5</v>
      </c>
      <c r="AC3" s="5">
        <v>8</v>
      </c>
      <c r="AD3" s="5">
        <v>8</v>
      </c>
      <c r="AE3" s="5">
        <v>8</v>
      </c>
      <c r="AF3" s="5"/>
      <c r="AG3" s="5"/>
      <c r="AH3" s="5">
        <f>SUM(D3:AG3)</f>
        <v>165.5</v>
      </c>
      <c r="AI3" s="116">
        <f>SUM(AH3:AH17)</f>
        <v>2731.5</v>
      </c>
      <c r="AJ3" s="117">
        <f>SUM(AI3/8)</f>
        <v>341.4375</v>
      </c>
    </row>
    <row r="4" spans="1:36" x14ac:dyDescent="0.25">
      <c r="A4" s="3">
        <v>2</v>
      </c>
      <c r="B4" s="4" t="s">
        <v>6</v>
      </c>
      <c r="C4" s="114"/>
      <c r="D4" s="6"/>
      <c r="E4" s="6">
        <v>8</v>
      </c>
      <c r="F4" s="6">
        <v>11</v>
      </c>
      <c r="G4" s="6">
        <v>11</v>
      </c>
      <c r="H4" s="6">
        <v>11</v>
      </c>
      <c r="I4" s="6">
        <v>11</v>
      </c>
      <c r="J4" s="6">
        <v>11</v>
      </c>
      <c r="K4" s="6">
        <v>11</v>
      </c>
      <c r="L4" s="6">
        <v>11</v>
      </c>
      <c r="M4" s="6">
        <v>11</v>
      </c>
      <c r="N4" s="6"/>
      <c r="O4" s="6">
        <v>10</v>
      </c>
      <c r="P4" s="6">
        <v>11</v>
      </c>
      <c r="Q4" s="6">
        <v>11</v>
      </c>
      <c r="R4" s="6">
        <v>11</v>
      </c>
      <c r="S4" s="6">
        <v>11</v>
      </c>
      <c r="T4" s="6">
        <v>11</v>
      </c>
      <c r="U4" s="6">
        <v>11</v>
      </c>
      <c r="V4" s="6">
        <v>11</v>
      </c>
      <c r="W4" s="6"/>
      <c r="X4" s="6">
        <v>11</v>
      </c>
      <c r="Y4" s="6">
        <v>10</v>
      </c>
      <c r="Z4" s="6">
        <v>10</v>
      </c>
      <c r="AA4" s="6">
        <v>8</v>
      </c>
      <c r="AB4" s="6">
        <v>10</v>
      </c>
      <c r="AC4" s="6">
        <v>10</v>
      </c>
      <c r="AD4" s="6">
        <v>10</v>
      </c>
      <c r="AE4" s="6">
        <v>10</v>
      </c>
      <c r="AF4" s="6"/>
      <c r="AG4" s="6"/>
      <c r="AH4" s="7">
        <f t="shared" ref="AH4:AH36" si="0">SUM(D4:AG4)</f>
        <v>262</v>
      </c>
      <c r="AI4" s="116"/>
      <c r="AJ4" s="117"/>
    </row>
    <row r="5" spans="1:36" x14ac:dyDescent="0.25">
      <c r="A5" s="3">
        <v>3</v>
      </c>
      <c r="B5" s="8" t="s">
        <v>7</v>
      </c>
      <c r="C5" s="114"/>
      <c r="D5" s="6">
        <v>10</v>
      </c>
      <c r="E5" s="6">
        <v>10</v>
      </c>
      <c r="F5" s="6">
        <v>10</v>
      </c>
      <c r="G5" s="6">
        <v>9</v>
      </c>
      <c r="H5" s="6">
        <v>10</v>
      </c>
      <c r="I5" s="6">
        <v>8</v>
      </c>
      <c r="J5" s="6">
        <v>11</v>
      </c>
      <c r="K5" s="6">
        <v>10</v>
      </c>
      <c r="L5" s="6">
        <v>10</v>
      </c>
      <c r="M5" s="6"/>
      <c r="N5" s="6">
        <v>11</v>
      </c>
      <c r="O5" s="6">
        <v>11</v>
      </c>
      <c r="P5" s="6">
        <v>11</v>
      </c>
      <c r="Q5" s="6">
        <v>11</v>
      </c>
      <c r="R5" s="6">
        <v>11</v>
      </c>
      <c r="S5" s="6"/>
      <c r="T5" s="6"/>
      <c r="U5" s="6">
        <v>11</v>
      </c>
      <c r="V5" s="6">
        <v>11</v>
      </c>
      <c r="W5" s="6">
        <v>11</v>
      </c>
      <c r="X5" s="6">
        <v>11</v>
      </c>
      <c r="Y5" s="6">
        <v>11</v>
      </c>
      <c r="Z5" s="6">
        <v>8</v>
      </c>
      <c r="AA5" s="6">
        <v>10</v>
      </c>
      <c r="AB5" s="6"/>
      <c r="AC5" s="6">
        <v>11</v>
      </c>
      <c r="AD5" s="6">
        <v>11</v>
      </c>
      <c r="AE5" s="6">
        <v>11</v>
      </c>
      <c r="AF5" s="6"/>
      <c r="AG5" s="6"/>
      <c r="AH5" s="9">
        <f t="shared" si="0"/>
        <v>249</v>
      </c>
      <c r="AI5" s="116"/>
      <c r="AJ5" s="117"/>
    </row>
    <row r="6" spans="1:36" x14ac:dyDescent="0.25">
      <c r="A6" s="3">
        <v>4</v>
      </c>
      <c r="B6" s="8" t="s">
        <v>8</v>
      </c>
      <c r="C6" s="114"/>
      <c r="D6" s="6">
        <v>10</v>
      </c>
      <c r="E6" s="6">
        <v>10</v>
      </c>
      <c r="F6" s="6">
        <v>11</v>
      </c>
      <c r="G6" s="6">
        <v>11</v>
      </c>
      <c r="H6" s="6">
        <v>11</v>
      </c>
      <c r="I6" s="6">
        <v>11</v>
      </c>
      <c r="J6" s="6">
        <v>11</v>
      </c>
      <c r="K6" s="6">
        <v>11</v>
      </c>
      <c r="L6" s="6"/>
      <c r="M6" s="6">
        <v>10</v>
      </c>
      <c r="N6" s="6">
        <v>10</v>
      </c>
      <c r="O6" s="6">
        <v>10</v>
      </c>
      <c r="P6" s="6">
        <v>10</v>
      </c>
      <c r="Q6" s="6">
        <v>10</v>
      </c>
      <c r="R6" s="6">
        <v>10</v>
      </c>
      <c r="S6" s="6">
        <v>10</v>
      </c>
      <c r="T6" s="6">
        <v>10</v>
      </c>
      <c r="U6" s="6">
        <v>10</v>
      </c>
      <c r="V6" s="6"/>
      <c r="W6" s="6">
        <v>11</v>
      </c>
      <c r="X6" s="6">
        <v>11</v>
      </c>
      <c r="Y6" s="6">
        <v>11</v>
      </c>
      <c r="Z6" s="6">
        <v>11</v>
      </c>
      <c r="AA6" s="6">
        <v>11</v>
      </c>
      <c r="AB6" s="6">
        <v>11</v>
      </c>
      <c r="AC6" s="6"/>
      <c r="AD6" s="6">
        <v>10</v>
      </c>
      <c r="AE6" s="6">
        <v>10</v>
      </c>
      <c r="AF6" s="6"/>
      <c r="AG6" s="6">
        <v>11</v>
      </c>
      <c r="AH6" s="9">
        <f>SUM(D6:AG6)</f>
        <v>273</v>
      </c>
      <c r="AI6" s="116"/>
      <c r="AJ6" s="117"/>
    </row>
    <row r="7" spans="1:36" x14ac:dyDescent="0.25">
      <c r="A7" s="3">
        <v>5</v>
      </c>
      <c r="B7" s="10" t="s">
        <v>9</v>
      </c>
      <c r="C7" s="114"/>
      <c r="D7" s="6">
        <v>10</v>
      </c>
      <c r="E7" s="6">
        <v>11</v>
      </c>
      <c r="F7" s="6">
        <v>11</v>
      </c>
      <c r="G7" s="6">
        <v>11</v>
      </c>
      <c r="H7" s="6">
        <v>10</v>
      </c>
      <c r="I7" s="6">
        <v>11</v>
      </c>
      <c r="J7" s="6"/>
      <c r="K7" s="6">
        <v>8</v>
      </c>
      <c r="L7" s="6">
        <v>11</v>
      </c>
      <c r="M7" s="6">
        <v>11</v>
      </c>
      <c r="N7" s="6">
        <v>11</v>
      </c>
      <c r="O7" s="6">
        <v>11</v>
      </c>
      <c r="P7" s="6">
        <v>10</v>
      </c>
      <c r="Q7" s="6"/>
      <c r="R7" s="6">
        <v>10</v>
      </c>
      <c r="S7" s="6">
        <v>11</v>
      </c>
      <c r="T7" s="6">
        <v>10</v>
      </c>
      <c r="U7" s="6">
        <v>8</v>
      </c>
      <c r="V7" s="6">
        <v>10</v>
      </c>
      <c r="W7" s="6">
        <v>10</v>
      </c>
      <c r="X7" s="6"/>
      <c r="Y7" s="6">
        <v>10</v>
      </c>
      <c r="Z7" s="6">
        <v>10</v>
      </c>
      <c r="AA7" s="6">
        <v>11</v>
      </c>
      <c r="AB7" s="6">
        <v>11</v>
      </c>
      <c r="AC7" s="6">
        <v>11</v>
      </c>
      <c r="AD7" s="6">
        <v>11</v>
      </c>
      <c r="AE7" s="6"/>
      <c r="AF7" s="6"/>
      <c r="AG7" s="6"/>
      <c r="AH7" s="9">
        <f t="shared" si="0"/>
        <v>249</v>
      </c>
      <c r="AI7" s="116"/>
      <c r="AJ7" s="117"/>
    </row>
    <row r="8" spans="1:36" x14ac:dyDescent="0.25">
      <c r="A8" s="3">
        <v>6</v>
      </c>
      <c r="B8" s="8" t="s">
        <v>10</v>
      </c>
      <c r="C8" s="114"/>
      <c r="D8" s="6">
        <v>10</v>
      </c>
      <c r="E8" s="6">
        <v>9</v>
      </c>
      <c r="F8" s="6">
        <v>9.5</v>
      </c>
      <c r="G8" s="6">
        <v>10</v>
      </c>
      <c r="H8" s="6">
        <v>10</v>
      </c>
      <c r="I8" s="6">
        <v>10</v>
      </c>
      <c r="J8" s="6">
        <v>10</v>
      </c>
      <c r="K8" s="6"/>
      <c r="L8" s="6">
        <v>11</v>
      </c>
      <c r="M8" s="6">
        <v>11</v>
      </c>
      <c r="N8" s="6">
        <v>10</v>
      </c>
      <c r="O8" s="6">
        <v>11</v>
      </c>
      <c r="P8" s="6">
        <v>10</v>
      </c>
      <c r="Q8" s="6">
        <v>10</v>
      </c>
      <c r="R8" s="6"/>
      <c r="S8" s="6">
        <v>10</v>
      </c>
      <c r="T8" s="6">
        <v>10</v>
      </c>
      <c r="U8" s="6">
        <v>10</v>
      </c>
      <c r="V8" s="6">
        <v>10</v>
      </c>
      <c r="W8" s="6">
        <v>10</v>
      </c>
      <c r="X8" s="6">
        <v>10</v>
      </c>
      <c r="Y8" s="6"/>
      <c r="Z8" s="6">
        <v>10</v>
      </c>
      <c r="AA8" s="6">
        <v>9.5</v>
      </c>
      <c r="AB8" s="6">
        <v>10</v>
      </c>
      <c r="AC8" s="6">
        <v>10</v>
      </c>
      <c r="AD8" s="6">
        <v>10</v>
      </c>
      <c r="AE8" s="6">
        <v>11</v>
      </c>
      <c r="AF8" s="6">
        <v>12</v>
      </c>
      <c r="AG8" s="6">
        <v>12</v>
      </c>
      <c r="AH8" s="9">
        <f t="shared" si="0"/>
        <v>276</v>
      </c>
      <c r="AI8" s="116"/>
      <c r="AJ8" s="117"/>
    </row>
    <row r="9" spans="1:36" x14ac:dyDescent="0.25">
      <c r="A9" s="3">
        <v>7</v>
      </c>
      <c r="B9" s="8" t="s">
        <v>11</v>
      </c>
      <c r="C9" s="114"/>
      <c r="D9" s="6"/>
      <c r="E9" s="6"/>
      <c r="F9" s="6"/>
      <c r="G9" s="6"/>
      <c r="H9" s="6"/>
      <c r="I9" s="6"/>
      <c r="J9" s="6"/>
      <c r="K9" s="6"/>
      <c r="L9" s="6"/>
      <c r="M9" s="6"/>
      <c r="N9" s="6">
        <v>8</v>
      </c>
      <c r="O9" s="6">
        <v>8</v>
      </c>
      <c r="P9" s="6">
        <v>8</v>
      </c>
      <c r="Q9" s="6">
        <v>8</v>
      </c>
      <c r="R9" s="6"/>
      <c r="S9" s="6"/>
      <c r="T9" s="6">
        <v>8</v>
      </c>
      <c r="U9" s="6">
        <v>8</v>
      </c>
      <c r="V9" s="6">
        <v>8</v>
      </c>
      <c r="W9" s="6">
        <v>8</v>
      </c>
      <c r="X9" s="6">
        <v>8</v>
      </c>
      <c r="Y9" s="6"/>
      <c r="Z9" s="6">
        <v>8</v>
      </c>
      <c r="AA9" s="6">
        <v>8</v>
      </c>
      <c r="AB9" s="6">
        <v>8</v>
      </c>
      <c r="AC9" s="6"/>
      <c r="AD9" s="6">
        <v>8</v>
      </c>
      <c r="AE9" s="6">
        <v>8</v>
      </c>
      <c r="AF9" s="6"/>
      <c r="AG9" s="6"/>
      <c r="AH9" s="9">
        <f t="shared" si="0"/>
        <v>112</v>
      </c>
      <c r="AI9" s="116"/>
      <c r="AJ9" s="117"/>
    </row>
    <row r="10" spans="1:36" x14ac:dyDescent="0.25">
      <c r="A10" s="3">
        <v>8</v>
      </c>
      <c r="B10" s="8" t="s">
        <v>12</v>
      </c>
      <c r="C10" s="114"/>
      <c r="D10" s="6">
        <v>8</v>
      </c>
      <c r="E10" s="6">
        <v>8</v>
      </c>
      <c r="F10" s="6">
        <v>8</v>
      </c>
      <c r="G10" s="6">
        <v>8</v>
      </c>
      <c r="H10" s="6">
        <v>8</v>
      </c>
      <c r="I10" s="6">
        <v>8</v>
      </c>
      <c r="J10" s="6">
        <v>8</v>
      </c>
      <c r="K10" s="6"/>
      <c r="L10" s="6">
        <v>8</v>
      </c>
      <c r="M10" s="6">
        <v>8</v>
      </c>
      <c r="N10" s="6">
        <v>8</v>
      </c>
      <c r="O10" s="6">
        <v>8</v>
      </c>
      <c r="P10" s="6">
        <v>8</v>
      </c>
      <c r="Q10" s="6">
        <v>8</v>
      </c>
      <c r="R10" s="6">
        <v>7.5</v>
      </c>
      <c r="S10" s="6"/>
      <c r="T10" s="6"/>
      <c r="U10" s="6"/>
      <c r="V10" s="6"/>
      <c r="W10" s="6"/>
      <c r="X10" s="6"/>
      <c r="Y10" s="6"/>
      <c r="Z10" s="6">
        <v>8</v>
      </c>
      <c r="AA10" s="6">
        <v>8</v>
      </c>
      <c r="AB10" s="6">
        <v>8</v>
      </c>
      <c r="AC10" s="6">
        <v>8</v>
      </c>
      <c r="AD10" s="6">
        <v>8</v>
      </c>
      <c r="AE10" s="6">
        <v>8</v>
      </c>
      <c r="AF10" s="6"/>
      <c r="AG10" s="6">
        <v>8</v>
      </c>
      <c r="AH10" s="9">
        <f t="shared" si="0"/>
        <v>167.5</v>
      </c>
      <c r="AI10" s="116"/>
      <c r="AJ10" s="117"/>
    </row>
    <row r="11" spans="1:36" x14ac:dyDescent="0.25">
      <c r="A11" s="3">
        <v>9</v>
      </c>
      <c r="B11" s="11" t="s">
        <v>13</v>
      </c>
      <c r="C11" s="114"/>
      <c r="D11" s="6">
        <v>8</v>
      </c>
      <c r="E11" s="6">
        <v>8</v>
      </c>
      <c r="F11" s="6">
        <v>8</v>
      </c>
      <c r="G11" s="6">
        <v>8</v>
      </c>
      <c r="H11" s="6">
        <v>8</v>
      </c>
      <c r="I11" s="6">
        <v>8</v>
      </c>
      <c r="J11" s="6">
        <v>8</v>
      </c>
      <c r="K11" s="6"/>
      <c r="L11" s="6">
        <v>8</v>
      </c>
      <c r="M11" s="6">
        <v>8</v>
      </c>
      <c r="N11" s="6">
        <v>8</v>
      </c>
      <c r="O11" s="6">
        <v>8</v>
      </c>
      <c r="P11" s="6">
        <v>8</v>
      </c>
      <c r="Q11" s="6">
        <v>8</v>
      </c>
      <c r="R11" s="6"/>
      <c r="S11" s="6">
        <v>8</v>
      </c>
      <c r="T11" s="6">
        <v>8</v>
      </c>
      <c r="U11" s="6">
        <v>8</v>
      </c>
      <c r="V11" s="6">
        <v>8</v>
      </c>
      <c r="W11" s="6">
        <v>8</v>
      </c>
      <c r="X11" s="6">
        <v>8</v>
      </c>
      <c r="Y11" s="6">
        <v>8</v>
      </c>
      <c r="Z11" s="6">
        <v>8</v>
      </c>
      <c r="AA11" s="6">
        <v>8</v>
      </c>
      <c r="AB11" s="6"/>
      <c r="AC11" s="6">
        <v>8</v>
      </c>
      <c r="AD11" s="6">
        <v>8</v>
      </c>
      <c r="AE11" s="6">
        <v>8</v>
      </c>
      <c r="AF11" s="6"/>
      <c r="AG11" s="6">
        <v>8</v>
      </c>
      <c r="AH11" s="9">
        <f t="shared" si="0"/>
        <v>208</v>
      </c>
      <c r="AI11" s="116"/>
      <c r="AJ11" s="117"/>
    </row>
    <row r="12" spans="1:36" x14ac:dyDescent="0.25">
      <c r="A12" s="3">
        <v>10</v>
      </c>
      <c r="B12" s="8" t="s">
        <v>14</v>
      </c>
      <c r="C12" s="114"/>
      <c r="D12" s="6"/>
      <c r="E12" s="6"/>
      <c r="F12" s="6"/>
      <c r="G12" s="6">
        <v>8</v>
      </c>
      <c r="H12" s="6">
        <v>8</v>
      </c>
      <c r="I12" s="6">
        <v>8</v>
      </c>
      <c r="J12" s="6">
        <v>8</v>
      </c>
      <c r="K12" s="6"/>
      <c r="L12" s="6"/>
      <c r="M12" s="6">
        <v>8</v>
      </c>
      <c r="N12" s="6">
        <v>8</v>
      </c>
      <c r="O12" s="6">
        <v>8</v>
      </c>
      <c r="P12" s="6">
        <v>8</v>
      </c>
      <c r="Q12" s="6">
        <v>8</v>
      </c>
      <c r="R12" s="6"/>
      <c r="S12" s="6">
        <v>8</v>
      </c>
      <c r="T12" s="6">
        <v>8</v>
      </c>
      <c r="U12" s="6">
        <v>8</v>
      </c>
      <c r="V12" s="6">
        <v>8</v>
      </c>
      <c r="W12" s="6">
        <v>8</v>
      </c>
      <c r="X12" s="6">
        <v>8</v>
      </c>
      <c r="Y12" s="6"/>
      <c r="Z12" s="6">
        <v>8</v>
      </c>
      <c r="AA12" s="6">
        <v>8</v>
      </c>
      <c r="AB12" s="6">
        <v>8.5</v>
      </c>
      <c r="AC12" s="6">
        <v>8</v>
      </c>
      <c r="AD12" s="6">
        <v>8</v>
      </c>
      <c r="AE12" s="6"/>
      <c r="AF12" s="6"/>
      <c r="AG12" s="6"/>
      <c r="AH12" s="9">
        <f t="shared" si="0"/>
        <v>160.5</v>
      </c>
      <c r="AI12" s="116"/>
      <c r="AJ12" s="117"/>
    </row>
    <row r="13" spans="1:36" x14ac:dyDescent="0.25">
      <c r="A13" s="3">
        <v>11</v>
      </c>
      <c r="B13" s="12" t="s">
        <v>15</v>
      </c>
      <c r="C13" s="114"/>
      <c r="D13" s="6"/>
      <c r="E13" s="6"/>
      <c r="F13" s="6"/>
      <c r="G13" s="6"/>
      <c r="H13" s="6"/>
      <c r="I13" s="6"/>
      <c r="J13" s="6"/>
      <c r="K13" s="6"/>
      <c r="L13" s="6"/>
      <c r="M13" s="6">
        <v>8</v>
      </c>
      <c r="N13" s="6">
        <v>8</v>
      </c>
      <c r="O13" s="6">
        <v>8</v>
      </c>
      <c r="P13" s="6">
        <v>8</v>
      </c>
      <c r="Q13" s="6">
        <v>8</v>
      </c>
      <c r="R13" s="6"/>
      <c r="S13" s="6">
        <v>8</v>
      </c>
      <c r="T13" s="6">
        <v>8</v>
      </c>
      <c r="U13" s="6">
        <v>8</v>
      </c>
      <c r="V13" s="6">
        <v>8</v>
      </c>
      <c r="W13" s="6">
        <v>8</v>
      </c>
      <c r="X13" s="6">
        <v>8</v>
      </c>
      <c r="Y13" s="6"/>
      <c r="Z13" s="6">
        <v>8</v>
      </c>
      <c r="AA13" s="6">
        <v>8</v>
      </c>
      <c r="AB13" s="6">
        <v>8</v>
      </c>
      <c r="AC13" s="6">
        <v>8</v>
      </c>
      <c r="AD13" s="6">
        <v>8</v>
      </c>
      <c r="AE13" s="6">
        <v>8</v>
      </c>
      <c r="AF13" s="6"/>
      <c r="AG13" s="6"/>
      <c r="AH13" s="9">
        <f t="shared" si="0"/>
        <v>136</v>
      </c>
      <c r="AI13" s="116"/>
      <c r="AJ13" s="117"/>
    </row>
    <row r="14" spans="1:36" x14ac:dyDescent="0.25">
      <c r="A14" s="3">
        <v>12</v>
      </c>
      <c r="B14" s="12" t="s">
        <v>16</v>
      </c>
      <c r="C14" s="114"/>
      <c r="D14" s="6"/>
      <c r="E14" s="6"/>
      <c r="F14" s="6"/>
      <c r="G14" s="6"/>
      <c r="H14" s="6"/>
      <c r="I14" s="6"/>
      <c r="J14" s="6"/>
      <c r="K14" s="6"/>
      <c r="L14" s="6"/>
      <c r="M14" s="6">
        <v>8</v>
      </c>
      <c r="N14" s="6">
        <v>8</v>
      </c>
      <c r="O14" s="6">
        <v>8</v>
      </c>
      <c r="P14" s="6">
        <v>8</v>
      </c>
      <c r="Q14" s="6">
        <v>8</v>
      </c>
      <c r="R14" s="6"/>
      <c r="S14" s="6">
        <v>8</v>
      </c>
      <c r="T14" s="6">
        <v>8</v>
      </c>
      <c r="U14" s="6">
        <v>8</v>
      </c>
      <c r="V14" s="6">
        <v>8</v>
      </c>
      <c r="W14" s="6">
        <v>8</v>
      </c>
      <c r="X14" s="6">
        <v>8</v>
      </c>
      <c r="Y14" s="6"/>
      <c r="Z14" s="6">
        <v>8</v>
      </c>
      <c r="AA14" s="6">
        <v>8</v>
      </c>
      <c r="AB14" s="6">
        <v>8.5</v>
      </c>
      <c r="AC14" s="6">
        <v>8</v>
      </c>
      <c r="AD14" s="6">
        <v>8</v>
      </c>
      <c r="AE14" s="6">
        <v>8</v>
      </c>
      <c r="AF14" s="6"/>
      <c r="AG14" s="6"/>
      <c r="AH14" s="9">
        <f t="shared" si="0"/>
        <v>136.5</v>
      </c>
      <c r="AI14" s="116"/>
      <c r="AJ14" s="117"/>
    </row>
    <row r="15" spans="1:36" x14ac:dyDescent="0.25">
      <c r="A15" s="3">
        <v>13</v>
      </c>
      <c r="B15" s="12" t="s">
        <v>17</v>
      </c>
      <c r="C15" s="114"/>
      <c r="D15" s="6"/>
      <c r="E15" s="6"/>
      <c r="F15" s="6">
        <v>8</v>
      </c>
      <c r="G15" s="6">
        <v>8</v>
      </c>
      <c r="H15" s="6"/>
      <c r="I15" s="6">
        <v>8</v>
      </c>
      <c r="J15" s="6">
        <v>8</v>
      </c>
      <c r="K15" s="6"/>
      <c r="L15" s="6">
        <v>8</v>
      </c>
      <c r="M15" s="6">
        <v>8</v>
      </c>
      <c r="N15" s="6">
        <v>8</v>
      </c>
      <c r="O15" s="6">
        <v>8</v>
      </c>
      <c r="P15" s="6">
        <v>8</v>
      </c>
      <c r="Q15" s="6">
        <v>8</v>
      </c>
      <c r="R15" s="6"/>
      <c r="S15" s="6">
        <v>8</v>
      </c>
      <c r="T15" s="6">
        <v>8</v>
      </c>
      <c r="U15" s="6"/>
      <c r="V15" s="6">
        <v>8</v>
      </c>
      <c r="W15" s="6">
        <v>8</v>
      </c>
      <c r="X15" s="6">
        <v>8</v>
      </c>
      <c r="Y15" s="6"/>
      <c r="Z15" s="6">
        <v>8</v>
      </c>
      <c r="AA15" s="6">
        <v>8</v>
      </c>
      <c r="AB15" s="6">
        <v>8.5</v>
      </c>
      <c r="AC15" s="6">
        <v>8</v>
      </c>
      <c r="AD15" s="6">
        <v>8</v>
      </c>
      <c r="AE15" s="6">
        <v>8</v>
      </c>
      <c r="AF15" s="6"/>
      <c r="AG15" s="6"/>
      <c r="AH15" s="9">
        <f t="shared" si="0"/>
        <v>168.5</v>
      </c>
      <c r="AI15" s="116"/>
      <c r="AJ15" s="117"/>
    </row>
    <row r="16" spans="1:36" x14ac:dyDescent="0.25">
      <c r="A16" s="3">
        <v>14</v>
      </c>
      <c r="B16" s="12" t="s">
        <v>18</v>
      </c>
      <c r="C16" s="114"/>
      <c r="D16" s="6"/>
      <c r="E16" s="6"/>
      <c r="F16" s="6"/>
      <c r="G16" s="6">
        <v>8</v>
      </c>
      <c r="H16" s="6">
        <v>8</v>
      </c>
      <c r="I16" s="6">
        <v>8</v>
      </c>
      <c r="J16" s="6">
        <v>8</v>
      </c>
      <c r="K16" s="6"/>
      <c r="L16" s="6">
        <v>8</v>
      </c>
      <c r="M16" s="6">
        <v>8</v>
      </c>
      <c r="N16" s="6">
        <v>8</v>
      </c>
      <c r="O16" s="6">
        <v>8</v>
      </c>
      <c r="P16" s="6">
        <v>8</v>
      </c>
      <c r="Q16" s="6">
        <v>8</v>
      </c>
      <c r="R16" s="6"/>
      <c r="S16" s="6">
        <v>8</v>
      </c>
      <c r="T16" s="6"/>
      <c r="U16" s="6"/>
      <c r="V16" s="6">
        <v>8</v>
      </c>
      <c r="W16" s="6">
        <v>8</v>
      </c>
      <c r="X16" s="6">
        <v>8</v>
      </c>
      <c r="Y16" s="6"/>
      <c r="Z16" s="6">
        <v>8</v>
      </c>
      <c r="AA16" s="6">
        <v>8</v>
      </c>
      <c r="AB16" s="6">
        <v>8</v>
      </c>
      <c r="AC16" s="6">
        <v>8</v>
      </c>
      <c r="AD16" s="6"/>
      <c r="AE16" s="6">
        <v>8</v>
      </c>
      <c r="AF16" s="6"/>
      <c r="AG16" s="6"/>
      <c r="AH16" s="9">
        <f t="shared" si="0"/>
        <v>152</v>
      </c>
      <c r="AI16" s="116"/>
      <c r="AJ16" s="117"/>
    </row>
    <row r="17" spans="1:36" x14ac:dyDescent="0.25">
      <c r="A17" s="3">
        <v>15</v>
      </c>
      <c r="B17" s="12" t="s">
        <v>19</v>
      </c>
      <c r="C17" s="11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>
        <v>8</v>
      </c>
      <c r="AA17" s="6">
        <v>8</v>
      </c>
      <c r="AB17" s="6"/>
      <c r="AC17" s="6"/>
      <c r="AD17" s="6"/>
      <c r="AE17" s="6"/>
      <c r="AF17" s="6"/>
      <c r="AG17" s="6"/>
      <c r="AH17" s="9">
        <f t="shared" si="0"/>
        <v>16</v>
      </c>
      <c r="AI17" s="116"/>
      <c r="AJ17" s="117"/>
    </row>
    <row r="18" spans="1:36" x14ac:dyDescent="0.25">
      <c r="A18" s="3">
        <v>16</v>
      </c>
      <c r="B18" s="13" t="s">
        <v>20</v>
      </c>
      <c r="C18" s="118" t="s">
        <v>21</v>
      </c>
      <c r="D18" s="14"/>
      <c r="E18" s="14"/>
      <c r="F18" s="14"/>
      <c r="G18" s="14">
        <v>8</v>
      </c>
      <c r="H18" s="14">
        <v>8</v>
      </c>
      <c r="I18" s="14">
        <v>8</v>
      </c>
      <c r="J18" s="14">
        <v>8</v>
      </c>
      <c r="K18" s="14"/>
      <c r="L18" s="14">
        <v>8</v>
      </c>
      <c r="M18" s="14">
        <v>8</v>
      </c>
      <c r="N18" s="14">
        <v>8</v>
      </c>
      <c r="O18" s="14">
        <v>8</v>
      </c>
      <c r="P18" s="14">
        <v>8</v>
      </c>
      <c r="Q18" s="14"/>
      <c r="R18" s="14"/>
      <c r="S18" s="14">
        <v>8</v>
      </c>
      <c r="T18" s="14">
        <v>8</v>
      </c>
      <c r="U18" s="14">
        <v>8</v>
      </c>
      <c r="V18" s="14">
        <v>8</v>
      </c>
      <c r="W18" s="14">
        <v>8</v>
      </c>
      <c r="X18" s="14">
        <v>8</v>
      </c>
      <c r="Y18" s="14"/>
      <c r="Z18" s="14">
        <v>8</v>
      </c>
      <c r="AA18" s="14">
        <v>8</v>
      </c>
      <c r="AB18" s="14">
        <v>8</v>
      </c>
      <c r="AC18" s="14">
        <v>8</v>
      </c>
      <c r="AD18" s="14">
        <v>8</v>
      </c>
      <c r="AE18" s="14">
        <v>8</v>
      </c>
      <c r="AF18" s="14"/>
      <c r="AG18" s="14"/>
      <c r="AH18" s="15">
        <f t="shared" si="0"/>
        <v>168</v>
      </c>
      <c r="AI18" s="121">
        <f>SUM(AH18:AH25)</f>
        <v>1263.5</v>
      </c>
      <c r="AJ18" s="122">
        <f>AI18/8</f>
        <v>157.9375</v>
      </c>
    </row>
    <row r="19" spans="1:36" x14ac:dyDescent="0.25">
      <c r="A19" s="3">
        <v>17</v>
      </c>
      <c r="B19" s="16" t="s">
        <v>22</v>
      </c>
      <c r="C19" s="119"/>
      <c r="D19" s="14"/>
      <c r="E19" s="14"/>
      <c r="F19" s="14">
        <v>8</v>
      </c>
      <c r="G19" s="14">
        <v>8</v>
      </c>
      <c r="H19" s="14">
        <v>8</v>
      </c>
      <c r="I19" s="14">
        <v>8</v>
      </c>
      <c r="J19" s="14">
        <v>8</v>
      </c>
      <c r="K19" s="14">
        <v>8</v>
      </c>
      <c r="L19" s="14">
        <v>8</v>
      </c>
      <c r="M19" s="14"/>
      <c r="N19" s="14">
        <v>8</v>
      </c>
      <c r="O19" s="14">
        <v>8</v>
      </c>
      <c r="P19" s="14">
        <v>8</v>
      </c>
      <c r="Q19" s="14">
        <v>8</v>
      </c>
      <c r="R19" s="14"/>
      <c r="S19" s="14">
        <v>8</v>
      </c>
      <c r="T19" s="14">
        <v>8</v>
      </c>
      <c r="U19" s="14">
        <v>8</v>
      </c>
      <c r="V19" s="14">
        <v>8</v>
      </c>
      <c r="W19" s="14">
        <v>8</v>
      </c>
      <c r="X19" s="14">
        <v>8</v>
      </c>
      <c r="Y19" s="14">
        <v>8</v>
      </c>
      <c r="Z19" s="14">
        <v>8</v>
      </c>
      <c r="AA19" s="14"/>
      <c r="AB19" s="14">
        <v>8</v>
      </c>
      <c r="AC19" s="14">
        <v>8</v>
      </c>
      <c r="AD19" s="14">
        <v>8</v>
      </c>
      <c r="AE19" s="14">
        <v>8</v>
      </c>
      <c r="AF19" s="14"/>
      <c r="AG19" s="14"/>
      <c r="AH19" s="15">
        <f t="shared" si="0"/>
        <v>184</v>
      </c>
      <c r="AI19" s="121"/>
      <c r="AJ19" s="122"/>
    </row>
    <row r="20" spans="1:36" x14ac:dyDescent="0.25">
      <c r="A20" s="3">
        <v>18</v>
      </c>
      <c r="B20" s="16" t="s">
        <v>23</v>
      </c>
      <c r="C20" s="119"/>
      <c r="D20" s="14">
        <v>8</v>
      </c>
      <c r="E20" s="14">
        <v>8</v>
      </c>
      <c r="F20" s="14">
        <v>8</v>
      </c>
      <c r="G20" s="14">
        <v>8</v>
      </c>
      <c r="H20" s="14">
        <v>8</v>
      </c>
      <c r="I20" s="14"/>
      <c r="J20" s="14">
        <v>11</v>
      </c>
      <c r="K20" s="14">
        <v>8</v>
      </c>
      <c r="L20" s="14">
        <v>8</v>
      </c>
      <c r="M20" s="14">
        <v>8</v>
      </c>
      <c r="N20" s="14">
        <v>8</v>
      </c>
      <c r="O20" s="14">
        <v>8</v>
      </c>
      <c r="P20" s="14"/>
      <c r="Q20" s="14">
        <v>8</v>
      </c>
      <c r="R20" s="14">
        <v>8</v>
      </c>
      <c r="S20" s="14">
        <v>8</v>
      </c>
      <c r="T20" s="14">
        <v>8</v>
      </c>
      <c r="U20" s="14">
        <v>8</v>
      </c>
      <c r="V20" s="14">
        <v>8</v>
      </c>
      <c r="W20" s="14">
        <v>8</v>
      </c>
      <c r="X20" s="14"/>
      <c r="Y20" s="14"/>
      <c r="Z20" s="14">
        <v>8</v>
      </c>
      <c r="AA20" s="14">
        <v>8</v>
      </c>
      <c r="AB20" s="14">
        <v>8</v>
      </c>
      <c r="AC20" s="14">
        <v>8</v>
      </c>
      <c r="AD20" s="14">
        <v>8</v>
      </c>
      <c r="AE20" s="14"/>
      <c r="AF20" s="14"/>
      <c r="AG20" s="14">
        <v>8</v>
      </c>
      <c r="AH20" s="15">
        <f t="shared" si="0"/>
        <v>195</v>
      </c>
      <c r="AI20" s="121"/>
      <c r="AJ20" s="122"/>
    </row>
    <row r="21" spans="1:36" x14ac:dyDescent="0.25">
      <c r="A21" s="3">
        <v>19</v>
      </c>
      <c r="B21" s="16" t="s">
        <v>24</v>
      </c>
      <c r="C21" s="119"/>
      <c r="D21" s="14">
        <v>8.5</v>
      </c>
      <c r="E21" s="14">
        <v>7.5</v>
      </c>
      <c r="F21" s="14">
        <v>8</v>
      </c>
      <c r="G21" s="14">
        <v>8</v>
      </c>
      <c r="H21" s="14">
        <v>8</v>
      </c>
      <c r="I21" s="14">
        <v>8</v>
      </c>
      <c r="J21" s="14">
        <v>8</v>
      </c>
      <c r="K21" s="14"/>
      <c r="L21" s="14"/>
      <c r="M21" s="14">
        <v>8</v>
      </c>
      <c r="N21" s="14">
        <v>8</v>
      </c>
      <c r="O21" s="14">
        <v>8</v>
      </c>
      <c r="P21" s="14">
        <v>8</v>
      </c>
      <c r="Q21" s="14">
        <v>8</v>
      </c>
      <c r="R21" s="14"/>
      <c r="S21" s="14">
        <v>8</v>
      </c>
      <c r="T21" s="14">
        <v>8</v>
      </c>
      <c r="U21" s="14">
        <v>8</v>
      </c>
      <c r="V21" s="14">
        <v>8</v>
      </c>
      <c r="W21" s="14"/>
      <c r="X21" s="14"/>
      <c r="Y21" s="14"/>
      <c r="Z21" s="14">
        <v>8</v>
      </c>
      <c r="AA21" s="14">
        <v>8</v>
      </c>
      <c r="AB21" s="14"/>
      <c r="AC21" s="14"/>
      <c r="AD21" s="14">
        <v>8</v>
      </c>
      <c r="AE21" s="14">
        <v>8</v>
      </c>
      <c r="AF21" s="14"/>
      <c r="AG21" s="14">
        <v>8</v>
      </c>
      <c r="AH21" s="15">
        <f t="shared" si="0"/>
        <v>168</v>
      </c>
      <c r="AI21" s="121"/>
      <c r="AJ21" s="122"/>
    </row>
    <row r="22" spans="1:36" x14ac:dyDescent="0.25">
      <c r="A22" s="3">
        <v>20</v>
      </c>
      <c r="B22" s="16" t="s">
        <v>25</v>
      </c>
      <c r="C22" s="119"/>
      <c r="D22" s="14">
        <v>8</v>
      </c>
      <c r="E22" s="14">
        <v>7</v>
      </c>
      <c r="F22" s="14">
        <v>7.5</v>
      </c>
      <c r="G22" s="14">
        <v>5.5</v>
      </c>
      <c r="H22" s="14">
        <v>7</v>
      </c>
      <c r="I22" s="14">
        <v>11</v>
      </c>
      <c r="J22" s="14"/>
      <c r="K22" s="14">
        <v>8</v>
      </c>
      <c r="L22" s="14">
        <v>8</v>
      </c>
      <c r="M22" s="14">
        <v>8</v>
      </c>
      <c r="N22" s="14">
        <v>8</v>
      </c>
      <c r="O22" s="14">
        <v>8</v>
      </c>
      <c r="P22" s="14">
        <v>8</v>
      </c>
      <c r="Q22" s="14">
        <v>8</v>
      </c>
      <c r="R22" s="14">
        <v>8</v>
      </c>
      <c r="S22" s="14"/>
      <c r="T22" s="14">
        <v>7.5</v>
      </c>
      <c r="U22" s="14">
        <v>8</v>
      </c>
      <c r="V22" s="14">
        <v>7.5</v>
      </c>
      <c r="W22" s="14">
        <v>8</v>
      </c>
      <c r="X22" s="14">
        <v>8</v>
      </c>
      <c r="Y22" s="14">
        <v>8</v>
      </c>
      <c r="Z22" s="14">
        <v>8</v>
      </c>
      <c r="AA22" s="14"/>
      <c r="AB22" s="14">
        <v>7.5</v>
      </c>
      <c r="AC22" s="14">
        <v>8</v>
      </c>
      <c r="AD22" s="14">
        <v>8</v>
      </c>
      <c r="AE22" s="14">
        <v>8</v>
      </c>
      <c r="AF22" s="14"/>
      <c r="AG22" s="14">
        <v>8</v>
      </c>
      <c r="AH22" s="15">
        <f t="shared" si="0"/>
        <v>204.5</v>
      </c>
      <c r="AI22" s="121"/>
      <c r="AJ22" s="122"/>
    </row>
    <row r="23" spans="1:36" x14ac:dyDescent="0.25">
      <c r="A23" s="3">
        <v>21</v>
      </c>
      <c r="B23" s="16" t="s">
        <v>26</v>
      </c>
      <c r="C23" s="119"/>
      <c r="D23" s="14"/>
      <c r="E23" s="14"/>
      <c r="F23" s="14">
        <v>8</v>
      </c>
      <c r="G23" s="14">
        <v>8</v>
      </c>
      <c r="H23" s="14">
        <v>8</v>
      </c>
      <c r="I23" s="14">
        <v>8</v>
      </c>
      <c r="J23" s="14">
        <v>8</v>
      </c>
      <c r="K23" s="14">
        <v>8</v>
      </c>
      <c r="L23" s="14">
        <v>8</v>
      </c>
      <c r="M23" s="14">
        <v>8</v>
      </c>
      <c r="N23" s="14"/>
      <c r="O23" s="14">
        <v>8</v>
      </c>
      <c r="P23" s="14">
        <v>8</v>
      </c>
      <c r="Q23" s="14">
        <v>8</v>
      </c>
      <c r="R23" s="14">
        <v>8</v>
      </c>
      <c r="S23" s="14">
        <v>8</v>
      </c>
      <c r="T23" s="14">
        <v>8</v>
      </c>
      <c r="U23" s="14">
        <v>8</v>
      </c>
      <c r="V23" s="14">
        <v>8</v>
      </c>
      <c r="W23" s="14">
        <v>8</v>
      </c>
      <c r="X23" s="14"/>
      <c r="Y23" s="14">
        <v>8</v>
      </c>
      <c r="Z23" s="14">
        <v>7.5</v>
      </c>
      <c r="AA23" s="14">
        <v>8</v>
      </c>
      <c r="AB23" s="14">
        <v>8</v>
      </c>
      <c r="AC23" s="14">
        <v>8</v>
      </c>
      <c r="AD23" s="14">
        <v>8</v>
      </c>
      <c r="AE23" s="14">
        <v>8</v>
      </c>
      <c r="AF23" s="14"/>
      <c r="AG23" s="14"/>
      <c r="AH23" s="15">
        <f t="shared" si="0"/>
        <v>191.5</v>
      </c>
      <c r="AI23" s="121"/>
      <c r="AJ23" s="122"/>
    </row>
    <row r="24" spans="1:36" x14ac:dyDescent="0.25">
      <c r="A24" s="3">
        <v>22</v>
      </c>
      <c r="B24" s="17" t="s">
        <v>27</v>
      </c>
      <c r="C24" s="119"/>
      <c r="D24" s="14"/>
      <c r="E24" s="14"/>
      <c r="F24" s="14">
        <v>8.5</v>
      </c>
      <c r="G24" s="14">
        <v>8</v>
      </c>
      <c r="H24" s="14">
        <v>8</v>
      </c>
      <c r="I24" s="14">
        <v>8</v>
      </c>
      <c r="J24" s="14">
        <v>8</v>
      </c>
      <c r="K24" s="14"/>
      <c r="L24" s="14">
        <v>8</v>
      </c>
      <c r="M24" s="14"/>
      <c r="N24" s="14"/>
      <c r="O24" s="14"/>
      <c r="P24" s="14"/>
      <c r="Q24" s="14">
        <v>8</v>
      </c>
      <c r="R24" s="14"/>
      <c r="S24" s="14">
        <v>8</v>
      </c>
      <c r="T24" s="14">
        <v>8</v>
      </c>
      <c r="U24" s="14">
        <v>8</v>
      </c>
      <c r="V24" s="14">
        <v>8</v>
      </c>
      <c r="W24" s="14">
        <v>8</v>
      </c>
      <c r="X24" s="14">
        <v>8</v>
      </c>
      <c r="Y24" s="14"/>
      <c r="Z24" s="14">
        <v>8</v>
      </c>
      <c r="AA24" s="14">
        <v>8</v>
      </c>
      <c r="AB24" s="14">
        <v>8</v>
      </c>
      <c r="AC24" s="14"/>
      <c r="AD24" s="14">
        <v>8</v>
      </c>
      <c r="AE24" s="14">
        <v>8</v>
      </c>
      <c r="AF24" s="14"/>
      <c r="AG24" s="14"/>
      <c r="AH24" s="18">
        <f t="shared" si="0"/>
        <v>144.5</v>
      </c>
      <c r="AI24" s="121"/>
      <c r="AJ24" s="122"/>
    </row>
    <row r="25" spans="1:36" x14ac:dyDescent="0.25">
      <c r="A25" s="3">
        <v>23</v>
      </c>
      <c r="B25" s="19" t="s">
        <v>28</v>
      </c>
      <c r="C25" s="120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>
        <v>8</v>
      </c>
      <c r="AF25" s="14"/>
      <c r="AG25" s="14"/>
      <c r="AH25" s="18">
        <f t="shared" si="0"/>
        <v>8</v>
      </c>
      <c r="AI25" s="121"/>
      <c r="AJ25" s="122"/>
    </row>
    <row r="26" spans="1:36" x14ac:dyDescent="0.25">
      <c r="A26" s="3">
        <v>24</v>
      </c>
      <c r="B26" s="20" t="s">
        <v>29</v>
      </c>
      <c r="C26" s="104" t="s">
        <v>30</v>
      </c>
      <c r="D26" s="21">
        <v>8</v>
      </c>
      <c r="E26" s="21">
        <v>8</v>
      </c>
      <c r="F26" s="21">
        <v>8</v>
      </c>
      <c r="G26" s="21">
        <v>8</v>
      </c>
      <c r="H26" s="21">
        <v>8</v>
      </c>
      <c r="I26" s="21"/>
      <c r="J26" s="21">
        <v>8</v>
      </c>
      <c r="K26" s="21">
        <v>8</v>
      </c>
      <c r="L26" s="21">
        <v>8</v>
      </c>
      <c r="M26" s="21">
        <v>8</v>
      </c>
      <c r="N26" s="21">
        <v>8</v>
      </c>
      <c r="O26" s="21">
        <v>8</v>
      </c>
      <c r="P26" s="21"/>
      <c r="Q26" s="21">
        <v>8</v>
      </c>
      <c r="R26" s="21">
        <v>8</v>
      </c>
      <c r="S26" s="21">
        <v>8</v>
      </c>
      <c r="T26" s="21">
        <v>8</v>
      </c>
      <c r="U26" s="21">
        <v>8</v>
      </c>
      <c r="V26" s="21"/>
      <c r="W26" s="21">
        <v>8</v>
      </c>
      <c r="X26" s="21">
        <v>8</v>
      </c>
      <c r="Y26" s="21">
        <v>8</v>
      </c>
      <c r="Z26" s="21">
        <v>9.5</v>
      </c>
      <c r="AA26" s="21">
        <v>10</v>
      </c>
      <c r="AB26" s="21">
        <v>8</v>
      </c>
      <c r="AC26" s="21">
        <v>8</v>
      </c>
      <c r="AD26" s="21"/>
      <c r="AE26" s="21">
        <v>8</v>
      </c>
      <c r="AF26" s="21"/>
      <c r="AG26" s="21">
        <v>8</v>
      </c>
      <c r="AH26" s="22">
        <f t="shared" si="0"/>
        <v>203.5</v>
      </c>
      <c r="AI26" s="105">
        <f>SUM(AH26:AH36)</f>
        <v>1880.03</v>
      </c>
      <c r="AJ26" s="108">
        <f>AI26/8</f>
        <v>235.00375</v>
      </c>
    </row>
    <row r="27" spans="1:36" x14ac:dyDescent="0.25">
      <c r="A27" s="3">
        <v>25</v>
      </c>
      <c r="B27" s="23" t="s">
        <v>31</v>
      </c>
      <c r="C27" s="104"/>
      <c r="D27" s="21"/>
      <c r="E27" s="21"/>
      <c r="F27" s="21"/>
      <c r="G27" s="21"/>
      <c r="H27" s="21"/>
      <c r="I27" s="21"/>
      <c r="J27" s="21"/>
      <c r="K27" s="21"/>
      <c r="L27" s="21">
        <v>8</v>
      </c>
      <c r="M27" s="21">
        <v>8</v>
      </c>
      <c r="N27" s="21">
        <v>8</v>
      </c>
      <c r="O27" s="21">
        <v>8</v>
      </c>
      <c r="P27" s="21">
        <v>8</v>
      </c>
      <c r="Q27" s="21"/>
      <c r="R27" s="21">
        <v>8</v>
      </c>
      <c r="S27" s="21">
        <v>8</v>
      </c>
      <c r="T27" s="21">
        <v>8</v>
      </c>
      <c r="U27" s="21">
        <v>8</v>
      </c>
      <c r="V27" s="21">
        <v>8</v>
      </c>
      <c r="W27" s="21">
        <v>8</v>
      </c>
      <c r="X27" s="21"/>
      <c r="Y27" s="21">
        <v>8</v>
      </c>
      <c r="Z27" s="21">
        <v>8</v>
      </c>
      <c r="AA27" s="21">
        <v>8</v>
      </c>
      <c r="AB27" s="21">
        <v>8</v>
      </c>
      <c r="AC27" s="21"/>
      <c r="AD27" s="21">
        <v>8</v>
      </c>
      <c r="AE27" s="21">
        <v>8</v>
      </c>
      <c r="AF27" s="21"/>
      <c r="AG27" s="21"/>
      <c r="AH27" s="22">
        <f t="shared" si="0"/>
        <v>136</v>
      </c>
      <c r="AI27" s="106"/>
      <c r="AJ27" s="108"/>
    </row>
    <row r="28" spans="1:36" x14ac:dyDescent="0.25">
      <c r="A28" s="3">
        <v>26</v>
      </c>
      <c r="B28" s="24" t="s">
        <v>32</v>
      </c>
      <c r="C28" s="104"/>
      <c r="D28" s="21">
        <v>7.53</v>
      </c>
      <c r="E28" s="21">
        <v>8</v>
      </c>
      <c r="F28" s="21">
        <v>8</v>
      </c>
      <c r="G28" s="21">
        <v>8</v>
      </c>
      <c r="H28" s="21">
        <v>8</v>
      </c>
      <c r="I28" s="21">
        <v>8</v>
      </c>
      <c r="J28" s="21">
        <v>8</v>
      </c>
      <c r="K28" s="21">
        <v>8</v>
      </c>
      <c r="L28" s="21"/>
      <c r="M28" s="21">
        <v>8</v>
      </c>
      <c r="N28" s="21">
        <v>8</v>
      </c>
      <c r="O28" s="21">
        <v>8</v>
      </c>
      <c r="P28" s="21">
        <v>8</v>
      </c>
      <c r="Q28" s="21">
        <v>8</v>
      </c>
      <c r="R28" s="21">
        <v>8</v>
      </c>
      <c r="S28" s="21"/>
      <c r="T28" s="21">
        <v>5.5</v>
      </c>
      <c r="U28" s="21">
        <v>8</v>
      </c>
      <c r="V28" s="21"/>
      <c r="W28" s="21">
        <v>8</v>
      </c>
      <c r="X28" s="21">
        <v>8</v>
      </c>
      <c r="Y28" s="21">
        <v>8</v>
      </c>
      <c r="Z28" s="21"/>
      <c r="AA28" s="21">
        <v>8</v>
      </c>
      <c r="AB28" s="21">
        <v>8</v>
      </c>
      <c r="AC28" s="21">
        <v>8</v>
      </c>
      <c r="AD28" s="21"/>
      <c r="AE28" s="21">
        <v>8</v>
      </c>
      <c r="AF28" s="21"/>
      <c r="AG28" s="21"/>
      <c r="AH28" s="22">
        <f t="shared" si="0"/>
        <v>181.03</v>
      </c>
      <c r="AI28" s="106"/>
      <c r="AJ28" s="108"/>
    </row>
    <row r="29" spans="1:36" x14ac:dyDescent="0.25">
      <c r="A29" s="3">
        <v>27</v>
      </c>
      <c r="B29" s="24" t="s">
        <v>33</v>
      </c>
      <c r="C29" s="104"/>
      <c r="D29" s="21"/>
      <c r="E29" s="21"/>
      <c r="F29" s="21"/>
      <c r="G29" s="21"/>
      <c r="H29" s="21">
        <v>8</v>
      </c>
      <c r="I29" s="21">
        <v>11</v>
      </c>
      <c r="J29" s="21">
        <v>8</v>
      </c>
      <c r="K29" s="21">
        <v>8</v>
      </c>
      <c r="L29" s="21">
        <v>8</v>
      </c>
      <c r="M29" s="21"/>
      <c r="N29" s="21">
        <v>8</v>
      </c>
      <c r="O29" s="21">
        <v>8</v>
      </c>
      <c r="P29" s="21">
        <v>8</v>
      </c>
      <c r="Q29" s="21">
        <v>8</v>
      </c>
      <c r="R29" s="21">
        <v>8</v>
      </c>
      <c r="S29" s="21">
        <v>8</v>
      </c>
      <c r="T29" s="21"/>
      <c r="U29" s="21">
        <v>8</v>
      </c>
      <c r="V29" s="21">
        <v>8</v>
      </c>
      <c r="W29" s="21">
        <v>8</v>
      </c>
      <c r="X29" s="21">
        <v>8</v>
      </c>
      <c r="Y29" s="21">
        <v>8</v>
      </c>
      <c r="Z29" s="21">
        <v>8</v>
      </c>
      <c r="AA29" s="21"/>
      <c r="AB29" s="21">
        <v>8</v>
      </c>
      <c r="AC29" s="21">
        <v>8</v>
      </c>
      <c r="AD29" s="21">
        <v>8</v>
      </c>
      <c r="AE29" s="21">
        <v>8</v>
      </c>
      <c r="AF29" s="21"/>
      <c r="AG29" s="21"/>
      <c r="AH29" s="22">
        <f t="shared" si="0"/>
        <v>171</v>
      </c>
      <c r="AI29" s="106"/>
      <c r="AJ29" s="108"/>
    </row>
    <row r="30" spans="1:36" x14ac:dyDescent="0.25">
      <c r="A30" s="3">
        <v>28</v>
      </c>
      <c r="B30" s="24" t="s">
        <v>34</v>
      </c>
      <c r="C30" s="104"/>
      <c r="D30" s="21"/>
      <c r="E30" s="21"/>
      <c r="F30" s="21"/>
      <c r="G30" s="21"/>
      <c r="H30" s="21"/>
      <c r="I30" s="21">
        <v>8</v>
      </c>
      <c r="J30" s="21">
        <v>8</v>
      </c>
      <c r="K30" s="21">
        <v>8</v>
      </c>
      <c r="L30" s="21">
        <v>8</v>
      </c>
      <c r="M30" s="21">
        <v>8</v>
      </c>
      <c r="N30" s="21">
        <v>8</v>
      </c>
      <c r="O30" s="21"/>
      <c r="P30" s="21">
        <v>8</v>
      </c>
      <c r="Q30" s="21">
        <v>8</v>
      </c>
      <c r="R30" s="21">
        <v>8</v>
      </c>
      <c r="S30" s="21">
        <v>8</v>
      </c>
      <c r="T30" s="21">
        <v>8</v>
      </c>
      <c r="U30" s="21"/>
      <c r="V30" s="21">
        <v>8</v>
      </c>
      <c r="W30" s="21">
        <v>8</v>
      </c>
      <c r="X30" s="21"/>
      <c r="Y30" s="21">
        <v>8</v>
      </c>
      <c r="Z30" s="21">
        <v>8</v>
      </c>
      <c r="AA30" s="21">
        <v>8</v>
      </c>
      <c r="AB30" s="21"/>
      <c r="AC30" s="21">
        <v>8</v>
      </c>
      <c r="AD30" s="21">
        <v>8</v>
      </c>
      <c r="AE30" s="21"/>
      <c r="AF30" s="21"/>
      <c r="AG30" s="21"/>
      <c r="AH30" s="22">
        <f t="shared" si="0"/>
        <v>144</v>
      </c>
      <c r="AI30" s="106"/>
      <c r="AJ30" s="108"/>
    </row>
    <row r="31" spans="1:36" x14ac:dyDescent="0.25">
      <c r="A31" s="3">
        <v>29</v>
      </c>
      <c r="B31" s="24" t="s">
        <v>35</v>
      </c>
      <c r="C31" s="104"/>
      <c r="D31" s="21">
        <v>8</v>
      </c>
      <c r="E31" s="21">
        <v>8</v>
      </c>
      <c r="F31" s="21">
        <v>8</v>
      </c>
      <c r="G31" s="21">
        <v>8</v>
      </c>
      <c r="H31" s="21">
        <v>8</v>
      </c>
      <c r="I31" s="21">
        <v>11</v>
      </c>
      <c r="J31" s="21">
        <v>11</v>
      </c>
      <c r="K31" s="21"/>
      <c r="L31" s="21">
        <v>8</v>
      </c>
      <c r="M31" s="21">
        <v>8</v>
      </c>
      <c r="N31" s="21">
        <v>8</v>
      </c>
      <c r="O31" s="21">
        <v>8</v>
      </c>
      <c r="P31" s="21">
        <v>8</v>
      </c>
      <c r="Q31" s="21">
        <v>8</v>
      </c>
      <c r="R31" s="21">
        <v>8</v>
      </c>
      <c r="S31" s="21"/>
      <c r="T31" s="21">
        <v>8</v>
      </c>
      <c r="U31" s="21">
        <v>8</v>
      </c>
      <c r="V31" s="21">
        <v>8</v>
      </c>
      <c r="W31" s="21">
        <v>8</v>
      </c>
      <c r="X31" s="21">
        <v>8</v>
      </c>
      <c r="Y31" s="21">
        <v>8</v>
      </c>
      <c r="Z31" s="21"/>
      <c r="AA31" s="21">
        <v>8</v>
      </c>
      <c r="AB31" s="21">
        <v>8</v>
      </c>
      <c r="AC31" s="21">
        <v>8</v>
      </c>
      <c r="AD31" s="21">
        <v>8</v>
      </c>
      <c r="AE31" s="21">
        <v>8</v>
      </c>
      <c r="AF31" s="21"/>
      <c r="AG31" s="21">
        <v>8</v>
      </c>
      <c r="AH31" s="22">
        <f t="shared" si="0"/>
        <v>214</v>
      </c>
      <c r="AI31" s="106"/>
      <c r="AJ31" s="108"/>
    </row>
    <row r="32" spans="1:36" x14ac:dyDescent="0.25">
      <c r="A32" s="3">
        <v>30</v>
      </c>
      <c r="B32" s="24" t="s">
        <v>36</v>
      </c>
      <c r="C32" s="104"/>
      <c r="D32" s="21"/>
      <c r="E32" s="21"/>
      <c r="F32" s="21">
        <v>8</v>
      </c>
      <c r="G32" s="21">
        <v>8</v>
      </c>
      <c r="H32" s="21">
        <v>7.5</v>
      </c>
      <c r="I32" s="21">
        <v>8</v>
      </c>
      <c r="J32" s="21">
        <v>8</v>
      </c>
      <c r="K32" s="21">
        <v>8</v>
      </c>
      <c r="L32" s="21">
        <v>8</v>
      </c>
      <c r="M32" s="21"/>
      <c r="N32" s="21">
        <v>8</v>
      </c>
      <c r="O32" s="21">
        <v>8</v>
      </c>
      <c r="P32" s="21">
        <v>8</v>
      </c>
      <c r="Q32" s="21">
        <v>8</v>
      </c>
      <c r="R32" s="21"/>
      <c r="S32" s="21">
        <v>8</v>
      </c>
      <c r="T32" s="21">
        <v>8</v>
      </c>
      <c r="U32" s="21">
        <v>8</v>
      </c>
      <c r="V32" s="21">
        <v>8</v>
      </c>
      <c r="W32" s="21">
        <v>8</v>
      </c>
      <c r="X32" s="21">
        <v>8</v>
      </c>
      <c r="Y32" s="21"/>
      <c r="Z32" s="21">
        <v>8</v>
      </c>
      <c r="AA32" s="21">
        <v>10</v>
      </c>
      <c r="AB32" s="21"/>
      <c r="AC32" s="21">
        <v>8</v>
      </c>
      <c r="AD32" s="21">
        <v>8</v>
      </c>
      <c r="AE32" s="21">
        <v>8</v>
      </c>
      <c r="AF32" s="21"/>
      <c r="AG32" s="21"/>
      <c r="AH32" s="22">
        <f t="shared" si="0"/>
        <v>177.5</v>
      </c>
      <c r="AI32" s="106"/>
      <c r="AJ32" s="108"/>
    </row>
    <row r="33" spans="1:36" x14ac:dyDescent="0.25">
      <c r="A33" s="3">
        <v>31</v>
      </c>
      <c r="B33" s="25" t="s">
        <v>37</v>
      </c>
      <c r="C33" s="104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>
        <v>8</v>
      </c>
      <c r="P33" s="21"/>
      <c r="Q33" s="21">
        <v>8</v>
      </c>
      <c r="R33" s="21">
        <v>8</v>
      </c>
      <c r="S33" s="21">
        <v>8</v>
      </c>
      <c r="T33" s="21">
        <v>8</v>
      </c>
      <c r="U33" s="21">
        <v>8</v>
      </c>
      <c r="V33" s="21">
        <v>8</v>
      </c>
      <c r="W33" s="21">
        <v>8</v>
      </c>
      <c r="X33" s="21">
        <v>8</v>
      </c>
      <c r="Y33" s="21"/>
      <c r="Z33" s="21">
        <v>9.5</v>
      </c>
      <c r="AA33" s="21">
        <v>10</v>
      </c>
      <c r="AB33" s="21"/>
      <c r="AC33" s="21">
        <v>8</v>
      </c>
      <c r="AD33" s="21">
        <v>8</v>
      </c>
      <c r="AE33" s="21">
        <v>8</v>
      </c>
      <c r="AF33" s="21"/>
      <c r="AG33" s="21"/>
      <c r="AH33" s="22">
        <f t="shared" si="0"/>
        <v>115.5</v>
      </c>
      <c r="AI33" s="106"/>
      <c r="AJ33" s="108"/>
    </row>
    <row r="34" spans="1:36" x14ac:dyDescent="0.25">
      <c r="A34" s="3">
        <v>32</v>
      </c>
      <c r="B34" s="25" t="s">
        <v>38</v>
      </c>
      <c r="C34" s="104"/>
      <c r="D34" s="26"/>
      <c r="E34" s="26"/>
      <c r="F34" s="26">
        <v>7.5</v>
      </c>
      <c r="G34" s="26">
        <v>8</v>
      </c>
      <c r="H34" s="26">
        <v>8</v>
      </c>
      <c r="I34" s="26">
        <v>8</v>
      </c>
      <c r="J34" s="26"/>
      <c r="K34" s="26"/>
      <c r="L34" s="26">
        <v>8</v>
      </c>
      <c r="M34" s="26">
        <v>8</v>
      </c>
      <c r="N34" s="26">
        <v>8</v>
      </c>
      <c r="O34" s="26">
        <v>8</v>
      </c>
      <c r="P34" s="26">
        <v>8</v>
      </c>
      <c r="Q34" s="26">
        <v>8</v>
      </c>
      <c r="R34" s="26"/>
      <c r="S34" s="26">
        <v>8</v>
      </c>
      <c r="T34" s="26">
        <v>8</v>
      </c>
      <c r="U34" s="26">
        <v>8</v>
      </c>
      <c r="V34" s="26">
        <v>8</v>
      </c>
      <c r="W34" s="26">
        <v>8</v>
      </c>
      <c r="X34" s="26">
        <v>8</v>
      </c>
      <c r="Y34" s="26"/>
      <c r="Z34" s="26">
        <v>8</v>
      </c>
      <c r="AA34" s="26">
        <v>8</v>
      </c>
      <c r="AB34" s="26">
        <v>8</v>
      </c>
      <c r="AC34" s="26">
        <v>8</v>
      </c>
      <c r="AD34" s="26">
        <v>8</v>
      </c>
      <c r="AE34" s="26">
        <v>8</v>
      </c>
      <c r="AF34" s="26"/>
      <c r="AG34" s="26"/>
      <c r="AH34" s="22">
        <f t="shared" si="0"/>
        <v>175.5</v>
      </c>
      <c r="AI34" s="106"/>
      <c r="AJ34" s="108"/>
    </row>
    <row r="35" spans="1:36" x14ac:dyDescent="0.25">
      <c r="A35" s="3">
        <v>33</v>
      </c>
      <c r="B35" s="27" t="s">
        <v>39</v>
      </c>
      <c r="C35" s="104"/>
      <c r="D35" s="28"/>
      <c r="E35" s="29"/>
      <c r="F35" s="29"/>
      <c r="G35" s="30">
        <v>8</v>
      </c>
      <c r="H35" s="30">
        <v>8</v>
      </c>
      <c r="I35" s="30">
        <v>8</v>
      </c>
      <c r="J35" s="30">
        <v>8</v>
      </c>
      <c r="K35" s="29"/>
      <c r="L35" s="30">
        <v>8</v>
      </c>
      <c r="M35" s="30">
        <v>8</v>
      </c>
      <c r="N35" s="30">
        <v>8</v>
      </c>
      <c r="O35" s="30">
        <v>8</v>
      </c>
      <c r="P35" s="30">
        <v>8</v>
      </c>
      <c r="Q35" s="30">
        <v>8</v>
      </c>
      <c r="R35" s="30"/>
      <c r="S35" s="30">
        <v>8</v>
      </c>
      <c r="T35" s="30">
        <v>8</v>
      </c>
      <c r="U35" s="30">
        <v>8</v>
      </c>
      <c r="V35" s="30">
        <v>8</v>
      </c>
      <c r="W35" s="30">
        <v>8</v>
      </c>
      <c r="X35" s="30">
        <v>8</v>
      </c>
      <c r="Y35" s="30"/>
      <c r="Z35" s="30">
        <v>8</v>
      </c>
      <c r="AA35" s="30">
        <v>10</v>
      </c>
      <c r="AB35" s="30">
        <v>8</v>
      </c>
      <c r="AC35" s="30">
        <v>8</v>
      </c>
      <c r="AD35" s="30">
        <v>8</v>
      </c>
      <c r="AE35" s="30">
        <v>8</v>
      </c>
      <c r="AF35" s="30"/>
      <c r="AG35" s="30"/>
      <c r="AH35" s="22">
        <f t="shared" si="0"/>
        <v>178</v>
      </c>
      <c r="AI35" s="106"/>
      <c r="AJ35" s="108"/>
    </row>
    <row r="36" spans="1:36" x14ac:dyDescent="0.25">
      <c r="A36" s="3">
        <v>34</v>
      </c>
      <c r="B36" s="27" t="s">
        <v>40</v>
      </c>
      <c r="C36" s="104"/>
      <c r="D36" s="28"/>
      <c r="E36" s="29"/>
      <c r="F36" s="30">
        <v>8</v>
      </c>
      <c r="G36" s="30">
        <v>8</v>
      </c>
      <c r="H36" s="30">
        <v>8</v>
      </c>
      <c r="I36" s="30">
        <v>8</v>
      </c>
      <c r="J36" s="30">
        <v>8</v>
      </c>
      <c r="K36" s="29"/>
      <c r="L36" s="30">
        <v>8</v>
      </c>
      <c r="M36" s="30">
        <v>8</v>
      </c>
      <c r="N36" s="30">
        <v>8</v>
      </c>
      <c r="O36" s="30">
        <v>8</v>
      </c>
      <c r="P36" s="30">
        <v>8</v>
      </c>
      <c r="Q36" s="30">
        <v>8</v>
      </c>
      <c r="R36" s="30"/>
      <c r="S36" s="30">
        <v>8</v>
      </c>
      <c r="T36" s="30">
        <v>8</v>
      </c>
      <c r="U36" s="30">
        <v>8</v>
      </c>
      <c r="V36" s="30">
        <v>8</v>
      </c>
      <c r="W36" s="30">
        <v>8</v>
      </c>
      <c r="X36" s="30">
        <v>8</v>
      </c>
      <c r="Y36" s="30"/>
      <c r="Z36" s="30">
        <v>8</v>
      </c>
      <c r="AA36" s="30">
        <v>8</v>
      </c>
      <c r="AB36" s="30">
        <v>8</v>
      </c>
      <c r="AC36" s="30">
        <v>8</v>
      </c>
      <c r="AD36" s="30">
        <v>8</v>
      </c>
      <c r="AE36" s="30">
        <v>8</v>
      </c>
      <c r="AF36" s="30"/>
      <c r="AG36" s="30"/>
      <c r="AH36" s="22">
        <f t="shared" si="0"/>
        <v>184</v>
      </c>
      <c r="AI36" s="107"/>
      <c r="AJ36" s="108"/>
    </row>
    <row r="37" spans="1:36" ht="15" customHeight="1" x14ac:dyDescent="0.25">
      <c r="A37" s="109" t="s">
        <v>43</v>
      </c>
      <c r="B37" s="109"/>
      <c r="C37" s="109"/>
      <c r="D37" s="109"/>
      <c r="E37" s="109"/>
      <c r="F37" s="109"/>
      <c r="G37" s="109"/>
      <c r="H37" s="109"/>
      <c r="I37" s="109"/>
      <c r="J37" s="110" t="s">
        <v>44</v>
      </c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09" t="s">
        <v>45</v>
      </c>
      <c r="AD37" s="109"/>
      <c r="AE37" s="109"/>
      <c r="AF37" s="109"/>
      <c r="AG37" s="109"/>
      <c r="AH37" s="109"/>
      <c r="AI37" s="109"/>
      <c r="AJ37" s="109"/>
    </row>
    <row r="38" spans="1:36" ht="15" customHeight="1" x14ac:dyDescent="0.25">
      <c r="A38" s="109"/>
      <c r="B38" s="109"/>
      <c r="C38" s="109"/>
      <c r="D38" s="109"/>
      <c r="E38" s="109"/>
      <c r="F38" s="109"/>
      <c r="G38" s="109"/>
      <c r="H38" s="109"/>
      <c r="I38" s="109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09"/>
      <c r="AD38" s="109"/>
      <c r="AE38" s="109"/>
      <c r="AF38" s="109"/>
      <c r="AG38" s="109"/>
      <c r="AH38" s="109"/>
      <c r="AI38" s="109"/>
      <c r="AJ38" s="109"/>
    </row>
    <row r="39" spans="1:36" ht="105" customHeight="1" x14ac:dyDescent="0.25">
      <c r="A39" s="109"/>
      <c r="B39" s="109"/>
      <c r="C39" s="109"/>
      <c r="D39" s="109"/>
      <c r="E39" s="109"/>
      <c r="F39" s="109"/>
      <c r="G39" s="109"/>
      <c r="H39" s="109"/>
      <c r="I39" s="109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09"/>
      <c r="AD39" s="109"/>
      <c r="AE39" s="109"/>
      <c r="AF39" s="109"/>
      <c r="AG39" s="109"/>
      <c r="AH39" s="109"/>
      <c r="AI39" s="109"/>
      <c r="AJ39" s="109"/>
    </row>
  </sheetData>
  <mergeCells count="13">
    <mergeCell ref="A1:AJ1"/>
    <mergeCell ref="C3:C17"/>
    <mergeCell ref="AI3:AI17"/>
    <mergeCell ref="AJ3:AJ17"/>
    <mergeCell ref="C18:C25"/>
    <mergeCell ref="AI18:AI25"/>
    <mergeCell ref="AJ18:AJ25"/>
    <mergeCell ref="C26:C36"/>
    <mergeCell ref="AI26:AI36"/>
    <mergeCell ref="AJ26:AJ36"/>
    <mergeCell ref="A37:I39"/>
    <mergeCell ref="J37:AB39"/>
    <mergeCell ref="AC37:AJ39"/>
  </mergeCells>
  <pageMargins left="0" right="0" top="0" bottom="0" header="0.3" footer="0.3"/>
  <pageSetup scale="85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43"/>
  <sheetViews>
    <sheetView topLeftCell="B26" workbookViewId="0">
      <selection activeCell="B1" sqref="B1:AK41"/>
    </sheetView>
  </sheetViews>
  <sheetFormatPr defaultRowHeight="15" x14ac:dyDescent="0.25"/>
  <cols>
    <col min="2" max="2" width="3.7109375" customWidth="1"/>
    <col min="3" max="3" width="25" bestFit="1" customWidth="1"/>
    <col min="4" max="4" width="5.140625" customWidth="1"/>
    <col min="5" max="32" width="3.42578125" customWidth="1"/>
    <col min="33" max="33" width="7.28515625" customWidth="1"/>
    <col min="34" max="34" width="6.5703125" bestFit="1" customWidth="1"/>
    <col min="35" max="35" width="5.85546875" customWidth="1"/>
    <col min="36" max="36" width="8.7109375" customWidth="1"/>
    <col min="37" max="37" width="10.42578125" customWidth="1"/>
  </cols>
  <sheetData>
    <row r="1" spans="1:37" s="61" customFormat="1" ht="24" thickBot="1" x14ac:dyDescent="0.4">
      <c r="B1" s="132" t="s">
        <v>41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3"/>
    </row>
    <row r="2" spans="1:37" ht="22.5" customHeight="1" x14ac:dyDescent="0.25">
      <c r="B2" s="62" t="s">
        <v>48</v>
      </c>
      <c r="C2" s="57" t="s">
        <v>0</v>
      </c>
      <c r="D2" s="31" t="s">
        <v>1</v>
      </c>
      <c r="E2" s="54">
        <v>1</v>
      </c>
      <c r="F2" s="54">
        <v>2</v>
      </c>
      <c r="G2" s="54">
        <v>3</v>
      </c>
      <c r="H2" s="54">
        <v>4</v>
      </c>
      <c r="I2" s="54">
        <v>5</v>
      </c>
      <c r="J2" s="54">
        <v>6</v>
      </c>
      <c r="K2" s="54">
        <v>7</v>
      </c>
      <c r="L2" s="54">
        <v>8</v>
      </c>
      <c r="M2" s="54">
        <v>9</v>
      </c>
      <c r="N2" s="54">
        <v>10</v>
      </c>
      <c r="O2" s="54">
        <v>11</v>
      </c>
      <c r="P2" s="54">
        <v>12</v>
      </c>
      <c r="Q2" s="54">
        <v>13</v>
      </c>
      <c r="R2" s="54">
        <v>14</v>
      </c>
      <c r="S2" s="54">
        <v>15</v>
      </c>
      <c r="T2" s="54">
        <v>16</v>
      </c>
      <c r="U2" s="54">
        <v>17</v>
      </c>
      <c r="V2" s="54">
        <v>18</v>
      </c>
      <c r="W2" s="54">
        <v>19</v>
      </c>
      <c r="X2" s="54">
        <v>20</v>
      </c>
      <c r="Y2" s="54">
        <v>21</v>
      </c>
      <c r="Z2" s="54">
        <v>22</v>
      </c>
      <c r="AA2" s="54">
        <v>23</v>
      </c>
      <c r="AB2" s="54">
        <v>24</v>
      </c>
      <c r="AC2" s="54">
        <v>25</v>
      </c>
      <c r="AD2" s="54">
        <v>26</v>
      </c>
      <c r="AE2" s="54">
        <v>27</v>
      </c>
      <c r="AF2" s="54">
        <v>28</v>
      </c>
      <c r="AG2" s="55">
        <v>46052</v>
      </c>
      <c r="AH2" s="56">
        <v>46053</v>
      </c>
      <c r="AI2" s="31" t="s">
        <v>2</v>
      </c>
      <c r="AJ2" s="59" t="s">
        <v>3</v>
      </c>
      <c r="AK2" s="60" t="s">
        <v>4</v>
      </c>
    </row>
    <row r="3" spans="1:37" ht="18.75" customHeight="1" x14ac:dyDescent="0.25">
      <c r="A3">
        <v>1</v>
      </c>
      <c r="B3" s="3">
        <v>1</v>
      </c>
      <c r="C3" s="4" t="s">
        <v>42</v>
      </c>
      <c r="D3" s="113" t="s">
        <v>5</v>
      </c>
      <c r="E3" s="5"/>
      <c r="F3" s="5"/>
      <c r="G3" s="5">
        <v>5</v>
      </c>
      <c r="H3" s="5">
        <v>8</v>
      </c>
      <c r="I3" s="5">
        <v>8</v>
      </c>
      <c r="J3" s="5">
        <v>8</v>
      </c>
      <c r="K3" s="5">
        <v>8</v>
      </c>
      <c r="L3" s="5"/>
      <c r="M3" s="5">
        <v>8</v>
      </c>
      <c r="N3" s="5">
        <v>8</v>
      </c>
      <c r="O3" s="5">
        <v>8</v>
      </c>
      <c r="P3" s="5">
        <v>8</v>
      </c>
      <c r="Q3" s="5">
        <v>8</v>
      </c>
      <c r="R3" s="5">
        <v>8</v>
      </c>
      <c r="S3" s="5"/>
      <c r="T3" s="5">
        <v>8</v>
      </c>
      <c r="U3" s="5">
        <v>8</v>
      </c>
      <c r="V3" s="5">
        <v>8</v>
      </c>
      <c r="W3" s="5">
        <v>8</v>
      </c>
      <c r="X3" s="5">
        <v>8</v>
      </c>
      <c r="Y3" s="5">
        <v>8</v>
      </c>
      <c r="Z3" s="5"/>
      <c r="AA3" s="5"/>
      <c r="AB3" s="5"/>
      <c r="AC3" s="5">
        <v>8.5</v>
      </c>
      <c r="AD3" s="5">
        <v>8</v>
      </c>
      <c r="AE3" s="5">
        <v>8</v>
      </c>
      <c r="AF3" s="5">
        <v>8</v>
      </c>
      <c r="AG3" s="5"/>
      <c r="AH3" s="5"/>
      <c r="AI3" s="5">
        <f>SUM(E3:AH3)</f>
        <v>165.5</v>
      </c>
      <c r="AJ3" s="134">
        <f>SUM(AI3:AI15)</f>
        <v>2411</v>
      </c>
      <c r="AK3" s="135">
        <f>SUM(AJ3/8)</f>
        <v>301.375</v>
      </c>
    </row>
    <row r="4" spans="1:37" ht="18.75" customHeight="1" x14ac:dyDescent="0.25">
      <c r="A4">
        <v>2</v>
      </c>
      <c r="B4" s="3">
        <v>2</v>
      </c>
      <c r="C4" s="4" t="s">
        <v>6</v>
      </c>
      <c r="D4" s="114"/>
      <c r="E4" s="6"/>
      <c r="F4" s="6">
        <v>8</v>
      </c>
      <c r="G4" s="6">
        <v>11</v>
      </c>
      <c r="H4" s="6">
        <v>11</v>
      </c>
      <c r="I4" s="6">
        <v>11</v>
      </c>
      <c r="J4" s="6">
        <v>11</v>
      </c>
      <c r="K4" s="6">
        <v>11</v>
      </c>
      <c r="L4" s="6">
        <v>11</v>
      </c>
      <c r="M4" s="6">
        <v>11</v>
      </c>
      <c r="N4" s="6">
        <v>11</v>
      </c>
      <c r="O4" s="6"/>
      <c r="P4" s="6">
        <v>10</v>
      </c>
      <c r="Q4" s="6">
        <v>11</v>
      </c>
      <c r="R4" s="6">
        <v>11</v>
      </c>
      <c r="S4" s="6">
        <v>11</v>
      </c>
      <c r="T4" s="6">
        <v>11</v>
      </c>
      <c r="U4" s="6">
        <v>11</v>
      </c>
      <c r="V4" s="6">
        <v>11</v>
      </c>
      <c r="W4" s="6">
        <v>11</v>
      </c>
      <c r="X4" s="6"/>
      <c r="Y4" s="6">
        <v>11</v>
      </c>
      <c r="Z4" s="6">
        <v>10</v>
      </c>
      <c r="AA4" s="6">
        <v>10</v>
      </c>
      <c r="AB4" s="6">
        <v>8</v>
      </c>
      <c r="AC4" s="6">
        <v>10</v>
      </c>
      <c r="AD4" s="6">
        <v>10</v>
      </c>
      <c r="AE4" s="6">
        <v>10</v>
      </c>
      <c r="AF4" s="6">
        <v>10</v>
      </c>
      <c r="AG4" s="6"/>
      <c r="AH4" s="6"/>
      <c r="AI4" s="7">
        <f t="shared" ref="AI4:AI36" si="0">SUM(E4:AH4)</f>
        <v>262</v>
      </c>
      <c r="AJ4" s="134"/>
      <c r="AK4" s="135"/>
    </row>
    <row r="5" spans="1:37" ht="18.75" customHeight="1" x14ac:dyDescent="0.25">
      <c r="A5">
        <v>3</v>
      </c>
      <c r="B5" s="3">
        <v>3</v>
      </c>
      <c r="C5" s="8" t="s">
        <v>7</v>
      </c>
      <c r="D5" s="114"/>
      <c r="E5" s="6">
        <v>10</v>
      </c>
      <c r="F5" s="6">
        <v>10</v>
      </c>
      <c r="G5" s="6">
        <v>10</v>
      </c>
      <c r="H5" s="6">
        <v>9</v>
      </c>
      <c r="I5" s="6">
        <v>10</v>
      </c>
      <c r="J5" s="6">
        <v>8</v>
      </c>
      <c r="K5" s="6">
        <v>11</v>
      </c>
      <c r="L5" s="6">
        <v>10</v>
      </c>
      <c r="M5" s="6">
        <v>10</v>
      </c>
      <c r="N5" s="6"/>
      <c r="O5" s="6">
        <v>11</v>
      </c>
      <c r="P5" s="6">
        <v>11</v>
      </c>
      <c r="Q5" s="6">
        <v>11</v>
      </c>
      <c r="R5" s="6">
        <v>11</v>
      </c>
      <c r="S5" s="6">
        <v>11</v>
      </c>
      <c r="T5" s="6"/>
      <c r="U5" s="6"/>
      <c r="V5" s="6">
        <v>11</v>
      </c>
      <c r="W5" s="6">
        <v>11</v>
      </c>
      <c r="X5" s="6">
        <v>11</v>
      </c>
      <c r="Y5" s="6">
        <v>11</v>
      </c>
      <c r="Z5" s="6">
        <v>11</v>
      </c>
      <c r="AA5" s="6">
        <v>8</v>
      </c>
      <c r="AB5" s="6">
        <v>10</v>
      </c>
      <c r="AC5" s="6"/>
      <c r="AD5" s="6">
        <v>11</v>
      </c>
      <c r="AE5" s="6">
        <v>11</v>
      </c>
      <c r="AF5" s="6">
        <v>11</v>
      </c>
      <c r="AG5" s="6"/>
      <c r="AH5" s="6"/>
      <c r="AI5" s="9">
        <f t="shared" si="0"/>
        <v>249</v>
      </c>
      <c r="AJ5" s="134"/>
      <c r="AK5" s="135"/>
    </row>
    <row r="6" spans="1:37" ht="18.75" customHeight="1" x14ac:dyDescent="0.25">
      <c r="A6">
        <v>4</v>
      </c>
      <c r="B6" s="3">
        <v>4</v>
      </c>
      <c r="C6" s="8" t="s">
        <v>8</v>
      </c>
      <c r="D6" s="114"/>
      <c r="E6" s="6">
        <v>10</v>
      </c>
      <c r="F6" s="6">
        <v>10</v>
      </c>
      <c r="G6" s="6">
        <v>11</v>
      </c>
      <c r="H6" s="6">
        <v>11</v>
      </c>
      <c r="I6" s="6">
        <v>11</v>
      </c>
      <c r="J6" s="6">
        <v>11</v>
      </c>
      <c r="K6" s="6">
        <v>11</v>
      </c>
      <c r="L6" s="6">
        <v>11</v>
      </c>
      <c r="M6" s="6"/>
      <c r="N6" s="6">
        <v>10</v>
      </c>
      <c r="O6" s="6">
        <v>10</v>
      </c>
      <c r="P6" s="6">
        <v>10</v>
      </c>
      <c r="Q6" s="6">
        <v>10</v>
      </c>
      <c r="R6" s="6">
        <v>10</v>
      </c>
      <c r="S6" s="6">
        <v>10</v>
      </c>
      <c r="T6" s="6">
        <v>10</v>
      </c>
      <c r="U6" s="6">
        <v>10</v>
      </c>
      <c r="V6" s="6">
        <v>10</v>
      </c>
      <c r="W6" s="6"/>
      <c r="X6" s="6">
        <v>11</v>
      </c>
      <c r="Y6" s="6">
        <v>11</v>
      </c>
      <c r="Z6" s="6">
        <v>11</v>
      </c>
      <c r="AA6" s="6">
        <v>11</v>
      </c>
      <c r="AB6" s="6">
        <v>11</v>
      </c>
      <c r="AC6" s="6">
        <v>11</v>
      </c>
      <c r="AD6" s="6"/>
      <c r="AE6" s="6">
        <v>10</v>
      </c>
      <c r="AF6" s="6">
        <v>10</v>
      </c>
      <c r="AG6" s="6"/>
      <c r="AH6" s="6">
        <v>11</v>
      </c>
      <c r="AI6" s="9">
        <f>SUM(E6:AH6)</f>
        <v>273</v>
      </c>
      <c r="AJ6" s="134"/>
      <c r="AK6" s="135"/>
    </row>
    <row r="7" spans="1:37" ht="18.75" customHeight="1" x14ac:dyDescent="0.25">
      <c r="A7">
        <v>5</v>
      </c>
      <c r="B7" s="3">
        <v>5</v>
      </c>
      <c r="C7" s="10" t="s">
        <v>9</v>
      </c>
      <c r="D7" s="114"/>
      <c r="E7" s="6">
        <v>10</v>
      </c>
      <c r="F7" s="6">
        <v>11</v>
      </c>
      <c r="G7" s="6">
        <v>11</v>
      </c>
      <c r="H7" s="6">
        <v>11</v>
      </c>
      <c r="I7" s="6">
        <v>10</v>
      </c>
      <c r="J7" s="6">
        <v>11</v>
      </c>
      <c r="K7" s="6"/>
      <c r="L7" s="6">
        <v>8</v>
      </c>
      <c r="M7" s="6">
        <v>11</v>
      </c>
      <c r="N7" s="6">
        <v>11</v>
      </c>
      <c r="O7" s="6">
        <v>11</v>
      </c>
      <c r="P7" s="6">
        <v>11</v>
      </c>
      <c r="Q7" s="6">
        <v>10</v>
      </c>
      <c r="R7" s="6"/>
      <c r="S7" s="6">
        <v>10</v>
      </c>
      <c r="T7" s="6">
        <v>11</v>
      </c>
      <c r="U7" s="6">
        <v>10</v>
      </c>
      <c r="V7" s="6">
        <v>8</v>
      </c>
      <c r="W7" s="6">
        <v>10</v>
      </c>
      <c r="X7" s="6">
        <v>10</v>
      </c>
      <c r="Y7" s="6"/>
      <c r="Z7" s="6">
        <v>10</v>
      </c>
      <c r="AA7" s="6">
        <v>10</v>
      </c>
      <c r="AB7" s="6">
        <v>11</v>
      </c>
      <c r="AC7" s="6">
        <v>11</v>
      </c>
      <c r="AD7" s="6">
        <v>11</v>
      </c>
      <c r="AE7" s="6">
        <v>11</v>
      </c>
      <c r="AF7" s="6"/>
      <c r="AG7" s="6"/>
      <c r="AH7" s="6"/>
      <c r="AI7" s="9">
        <f t="shared" si="0"/>
        <v>249</v>
      </c>
      <c r="AJ7" s="134"/>
      <c r="AK7" s="135"/>
    </row>
    <row r="8" spans="1:37" ht="18.75" customHeight="1" x14ac:dyDescent="0.25">
      <c r="A8">
        <v>6</v>
      </c>
      <c r="B8" s="3">
        <v>6</v>
      </c>
      <c r="C8" s="8" t="s">
        <v>10</v>
      </c>
      <c r="D8" s="114"/>
      <c r="E8" s="6">
        <v>10</v>
      </c>
      <c r="F8" s="6">
        <v>9</v>
      </c>
      <c r="G8" s="6">
        <v>9.5</v>
      </c>
      <c r="H8" s="6">
        <v>10</v>
      </c>
      <c r="I8" s="6">
        <v>10</v>
      </c>
      <c r="J8" s="6">
        <v>10</v>
      </c>
      <c r="K8" s="6">
        <v>10</v>
      </c>
      <c r="L8" s="6"/>
      <c r="M8" s="6">
        <v>11</v>
      </c>
      <c r="N8" s="6">
        <v>11</v>
      </c>
      <c r="O8" s="6">
        <v>10</v>
      </c>
      <c r="P8" s="6">
        <v>11</v>
      </c>
      <c r="Q8" s="6">
        <v>10</v>
      </c>
      <c r="R8" s="6">
        <v>10</v>
      </c>
      <c r="S8" s="6"/>
      <c r="T8" s="6">
        <v>10</v>
      </c>
      <c r="U8" s="6">
        <v>10</v>
      </c>
      <c r="V8" s="6">
        <v>10</v>
      </c>
      <c r="W8" s="6">
        <v>10</v>
      </c>
      <c r="X8" s="6">
        <v>10</v>
      </c>
      <c r="Y8" s="6">
        <v>10</v>
      </c>
      <c r="Z8" s="6"/>
      <c r="AA8" s="6">
        <v>10</v>
      </c>
      <c r="AB8" s="6">
        <v>9.5</v>
      </c>
      <c r="AC8" s="6">
        <v>10</v>
      </c>
      <c r="AD8" s="6">
        <v>10</v>
      </c>
      <c r="AE8" s="6">
        <v>10</v>
      </c>
      <c r="AF8" s="6">
        <v>11</v>
      </c>
      <c r="AG8" s="6">
        <v>12</v>
      </c>
      <c r="AH8" s="6">
        <v>12</v>
      </c>
      <c r="AI8" s="9">
        <f t="shared" si="0"/>
        <v>276</v>
      </c>
      <c r="AJ8" s="134"/>
      <c r="AK8" s="135"/>
    </row>
    <row r="9" spans="1:37" ht="18.75" customHeight="1" x14ac:dyDescent="0.25">
      <c r="A9">
        <v>7</v>
      </c>
      <c r="B9" s="3">
        <v>7</v>
      </c>
      <c r="C9" s="8" t="s">
        <v>11</v>
      </c>
      <c r="D9" s="114"/>
      <c r="E9" s="6"/>
      <c r="F9" s="6"/>
      <c r="G9" s="6"/>
      <c r="H9" s="6"/>
      <c r="I9" s="6"/>
      <c r="J9" s="6"/>
      <c r="K9" s="6"/>
      <c r="L9" s="6"/>
      <c r="M9" s="6"/>
      <c r="N9" s="6"/>
      <c r="O9" s="6">
        <v>8</v>
      </c>
      <c r="P9" s="6">
        <v>8</v>
      </c>
      <c r="Q9" s="6">
        <v>8</v>
      </c>
      <c r="R9" s="6">
        <v>8</v>
      </c>
      <c r="S9" s="6"/>
      <c r="T9" s="6"/>
      <c r="U9" s="6">
        <v>8</v>
      </c>
      <c r="V9" s="6">
        <v>8</v>
      </c>
      <c r="W9" s="6">
        <v>8</v>
      </c>
      <c r="X9" s="6">
        <v>8</v>
      </c>
      <c r="Y9" s="6">
        <v>8</v>
      </c>
      <c r="Z9" s="6"/>
      <c r="AA9" s="6">
        <v>8</v>
      </c>
      <c r="AB9" s="6">
        <v>8</v>
      </c>
      <c r="AC9" s="6">
        <v>8</v>
      </c>
      <c r="AD9" s="6"/>
      <c r="AE9" s="6">
        <v>8</v>
      </c>
      <c r="AF9" s="6">
        <v>8</v>
      </c>
      <c r="AG9" s="6"/>
      <c r="AH9" s="6"/>
      <c r="AI9" s="9">
        <f t="shared" si="0"/>
        <v>112</v>
      </c>
      <c r="AJ9" s="134"/>
      <c r="AK9" s="135"/>
    </row>
    <row r="10" spans="1:37" ht="18.75" customHeight="1" x14ac:dyDescent="0.25">
      <c r="A10">
        <v>8</v>
      </c>
      <c r="B10" s="34">
        <v>8</v>
      </c>
      <c r="C10" s="8" t="s">
        <v>12</v>
      </c>
      <c r="D10" s="114"/>
      <c r="E10" s="6">
        <v>8</v>
      </c>
      <c r="F10" s="6">
        <v>8</v>
      </c>
      <c r="G10" s="6">
        <v>8</v>
      </c>
      <c r="H10" s="6">
        <v>8</v>
      </c>
      <c r="I10" s="6">
        <v>8</v>
      </c>
      <c r="J10" s="6">
        <v>8</v>
      </c>
      <c r="K10" s="6">
        <v>8</v>
      </c>
      <c r="L10" s="6"/>
      <c r="M10" s="6">
        <v>8</v>
      </c>
      <c r="N10" s="6">
        <v>8</v>
      </c>
      <c r="O10" s="6">
        <v>8</v>
      </c>
      <c r="P10" s="6">
        <v>8</v>
      </c>
      <c r="Q10" s="6">
        <v>8</v>
      </c>
      <c r="R10" s="6">
        <v>8</v>
      </c>
      <c r="S10" s="6">
        <v>7.5</v>
      </c>
      <c r="T10" s="6"/>
      <c r="U10" s="6"/>
      <c r="V10" s="6"/>
      <c r="W10" s="6"/>
      <c r="X10" s="6"/>
      <c r="Y10" s="6"/>
      <c r="Z10" s="6"/>
      <c r="AA10" s="6">
        <v>8</v>
      </c>
      <c r="AB10" s="6">
        <v>8</v>
      </c>
      <c r="AC10" s="6">
        <v>8</v>
      </c>
      <c r="AD10" s="6">
        <v>8</v>
      </c>
      <c r="AE10" s="6">
        <v>8</v>
      </c>
      <c r="AF10" s="6">
        <v>8</v>
      </c>
      <c r="AG10" s="6"/>
      <c r="AH10" s="6">
        <v>8</v>
      </c>
      <c r="AI10" s="9">
        <f t="shared" si="0"/>
        <v>167.5</v>
      </c>
      <c r="AJ10" s="134"/>
      <c r="AK10" s="135"/>
    </row>
    <row r="11" spans="1:37" ht="18.75" customHeight="1" x14ac:dyDescent="0.25">
      <c r="A11">
        <v>9</v>
      </c>
      <c r="B11" s="34">
        <v>9</v>
      </c>
      <c r="C11" s="11" t="s">
        <v>47</v>
      </c>
      <c r="D11" s="114"/>
      <c r="E11" s="6">
        <v>8</v>
      </c>
      <c r="F11" s="6">
        <v>8</v>
      </c>
      <c r="G11" s="6">
        <v>8</v>
      </c>
      <c r="H11" s="6">
        <v>8</v>
      </c>
      <c r="I11" s="6">
        <v>8</v>
      </c>
      <c r="J11" s="6">
        <v>8</v>
      </c>
      <c r="K11" s="6">
        <v>8</v>
      </c>
      <c r="L11" s="6"/>
      <c r="M11" s="6">
        <v>8</v>
      </c>
      <c r="N11" s="6">
        <v>8</v>
      </c>
      <c r="O11" s="6">
        <v>8</v>
      </c>
      <c r="P11" s="6">
        <v>8</v>
      </c>
      <c r="Q11" s="6">
        <v>8</v>
      </c>
      <c r="R11" s="6">
        <v>8</v>
      </c>
      <c r="S11" s="6"/>
      <c r="T11" s="6">
        <v>8</v>
      </c>
      <c r="U11" s="6">
        <v>8</v>
      </c>
      <c r="V11" s="6">
        <v>8</v>
      </c>
      <c r="W11" s="6">
        <v>8</v>
      </c>
      <c r="X11" s="6">
        <v>8</v>
      </c>
      <c r="Y11" s="6">
        <v>8</v>
      </c>
      <c r="Z11" s="6">
        <v>8</v>
      </c>
      <c r="AA11" s="6">
        <v>8</v>
      </c>
      <c r="AB11" s="6">
        <v>8</v>
      </c>
      <c r="AC11" s="6"/>
      <c r="AD11" s="6">
        <v>8</v>
      </c>
      <c r="AE11" s="6">
        <v>8</v>
      </c>
      <c r="AF11" s="6">
        <v>8</v>
      </c>
      <c r="AG11" s="6"/>
      <c r="AH11" s="6">
        <v>8</v>
      </c>
      <c r="AI11" s="9">
        <f t="shared" si="0"/>
        <v>208</v>
      </c>
      <c r="AJ11" s="134"/>
      <c r="AK11" s="135"/>
    </row>
    <row r="12" spans="1:37" ht="18.75" customHeight="1" x14ac:dyDescent="0.25">
      <c r="A12">
        <v>10</v>
      </c>
      <c r="B12" s="34">
        <v>10</v>
      </c>
      <c r="C12" s="8" t="s">
        <v>14</v>
      </c>
      <c r="D12" s="114"/>
      <c r="E12" s="6"/>
      <c r="F12" s="6"/>
      <c r="G12" s="6"/>
      <c r="H12" s="6">
        <v>8</v>
      </c>
      <c r="I12" s="6">
        <v>8</v>
      </c>
      <c r="J12" s="6">
        <v>8</v>
      </c>
      <c r="K12" s="6">
        <v>8</v>
      </c>
      <c r="L12" s="6"/>
      <c r="M12" s="6"/>
      <c r="N12" s="6">
        <v>8</v>
      </c>
      <c r="O12" s="6">
        <v>8</v>
      </c>
      <c r="P12" s="6">
        <v>8</v>
      </c>
      <c r="Q12" s="6">
        <v>8</v>
      </c>
      <c r="R12" s="6">
        <v>8</v>
      </c>
      <c r="S12" s="6"/>
      <c r="T12" s="6">
        <v>8</v>
      </c>
      <c r="U12" s="6">
        <v>8</v>
      </c>
      <c r="V12" s="6">
        <v>8</v>
      </c>
      <c r="W12" s="6">
        <v>8</v>
      </c>
      <c r="X12" s="6">
        <v>8</v>
      </c>
      <c r="Y12" s="6">
        <v>8</v>
      </c>
      <c r="Z12" s="6"/>
      <c r="AA12" s="6">
        <v>8</v>
      </c>
      <c r="AB12" s="6">
        <v>8</v>
      </c>
      <c r="AC12" s="6">
        <v>8.5</v>
      </c>
      <c r="AD12" s="6">
        <v>8</v>
      </c>
      <c r="AE12" s="6">
        <v>8</v>
      </c>
      <c r="AF12" s="6"/>
      <c r="AG12" s="6"/>
      <c r="AH12" s="6"/>
      <c r="AI12" s="9">
        <f t="shared" si="0"/>
        <v>160.5</v>
      </c>
      <c r="AJ12" s="134"/>
      <c r="AK12" s="135"/>
    </row>
    <row r="13" spans="1:37" ht="18.75" customHeight="1" x14ac:dyDescent="0.25">
      <c r="A13">
        <v>11</v>
      </c>
      <c r="B13" s="34">
        <v>11</v>
      </c>
      <c r="C13" s="12" t="s">
        <v>15</v>
      </c>
      <c r="D13" s="114"/>
      <c r="E13" s="6"/>
      <c r="F13" s="6"/>
      <c r="G13" s="6"/>
      <c r="H13" s="6"/>
      <c r="I13" s="6"/>
      <c r="J13" s="6"/>
      <c r="K13" s="6"/>
      <c r="L13" s="6"/>
      <c r="M13" s="6"/>
      <c r="N13" s="6">
        <v>8</v>
      </c>
      <c r="O13" s="6">
        <v>8</v>
      </c>
      <c r="P13" s="6">
        <v>8</v>
      </c>
      <c r="Q13" s="6">
        <v>8</v>
      </c>
      <c r="R13" s="6">
        <v>8</v>
      </c>
      <c r="S13" s="6"/>
      <c r="T13" s="6">
        <v>8</v>
      </c>
      <c r="U13" s="6">
        <v>8</v>
      </c>
      <c r="V13" s="6">
        <v>8</v>
      </c>
      <c r="W13" s="6">
        <v>8</v>
      </c>
      <c r="X13" s="6">
        <v>8</v>
      </c>
      <c r="Y13" s="6">
        <v>8</v>
      </c>
      <c r="Z13" s="6"/>
      <c r="AA13" s="6">
        <v>8</v>
      </c>
      <c r="AB13" s="6">
        <v>8</v>
      </c>
      <c r="AC13" s="6">
        <v>8</v>
      </c>
      <c r="AD13" s="6">
        <v>8</v>
      </c>
      <c r="AE13" s="6">
        <v>8</v>
      </c>
      <c r="AF13" s="6">
        <v>8</v>
      </c>
      <c r="AG13" s="6"/>
      <c r="AH13" s="6"/>
      <c r="AI13" s="9">
        <f t="shared" si="0"/>
        <v>136</v>
      </c>
      <c r="AJ13" s="134"/>
      <c r="AK13" s="135"/>
    </row>
    <row r="14" spans="1:37" ht="18.75" customHeight="1" x14ac:dyDescent="0.25">
      <c r="A14">
        <v>12</v>
      </c>
      <c r="B14" s="34">
        <v>12</v>
      </c>
      <c r="C14" s="12" t="s">
        <v>16</v>
      </c>
      <c r="D14" s="114"/>
      <c r="E14" s="6"/>
      <c r="F14" s="6"/>
      <c r="G14" s="6"/>
      <c r="H14" s="6"/>
      <c r="I14" s="6"/>
      <c r="J14" s="6"/>
      <c r="K14" s="6"/>
      <c r="L14" s="6"/>
      <c r="M14" s="6"/>
      <c r="N14" s="6">
        <v>8</v>
      </c>
      <c r="O14" s="6">
        <v>8</v>
      </c>
      <c r="P14" s="6">
        <v>8</v>
      </c>
      <c r="Q14" s="6">
        <v>8</v>
      </c>
      <c r="R14" s="6">
        <v>8</v>
      </c>
      <c r="S14" s="6"/>
      <c r="T14" s="6">
        <v>8</v>
      </c>
      <c r="U14" s="6">
        <v>8</v>
      </c>
      <c r="V14" s="6">
        <v>8</v>
      </c>
      <c r="W14" s="6">
        <v>8</v>
      </c>
      <c r="X14" s="6">
        <v>8</v>
      </c>
      <c r="Y14" s="6">
        <v>8</v>
      </c>
      <c r="Z14" s="6"/>
      <c r="AA14" s="6">
        <v>8</v>
      </c>
      <c r="AB14" s="6">
        <v>8</v>
      </c>
      <c r="AC14" s="6">
        <v>8.5</v>
      </c>
      <c r="AD14" s="6">
        <v>8</v>
      </c>
      <c r="AE14" s="6">
        <v>8</v>
      </c>
      <c r="AF14" s="6">
        <v>8</v>
      </c>
      <c r="AG14" s="6"/>
      <c r="AH14" s="6"/>
      <c r="AI14" s="9">
        <f t="shared" si="0"/>
        <v>136.5</v>
      </c>
      <c r="AJ14" s="134"/>
      <c r="AK14" s="135"/>
    </row>
    <row r="15" spans="1:37" ht="18.75" customHeight="1" x14ac:dyDescent="0.25">
      <c r="A15">
        <v>13</v>
      </c>
      <c r="B15" s="3">
        <v>13</v>
      </c>
      <c r="C15" s="12" t="s">
        <v>19</v>
      </c>
      <c r="D15" s="11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8</v>
      </c>
      <c r="AB15" s="6">
        <v>8</v>
      </c>
      <c r="AC15" s="6"/>
      <c r="AD15" s="6"/>
      <c r="AE15" s="6"/>
      <c r="AF15" s="6"/>
      <c r="AG15" s="6"/>
      <c r="AH15" s="6"/>
      <c r="AI15" s="9">
        <f t="shared" si="0"/>
        <v>16</v>
      </c>
      <c r="AJ15" s="134"/>
      <c r="AK15" s="135"/>
    </row>
    <row r="16" spans="1:37" ht="18.75" customHeight="1" x14ac:dyDescent="0.25">
      <c r="A16">
        <v>14</v>
      </c>
      <c r="B16" s="34">
        <v>14</v>
      </c>
      <c r="C16" s="51" t="s">
        <v>20</v>
      </c>
      <c r="D16" s="136" t="s">
        <v>21</v>
      </c>
      <c r="E16" s="14"/>
      <c r="F16" s="14"/>
      <c r="G16" s="14"/>
      <c r="H16" s="14">
        <v>8</v>
      </c>
      <c r="I16" s="14">
        <v>8</v>
      </c>
      <c r="J16" s="14">
        <v>8</v>
      </c>
      <c r="K16" s="14">
        <v>8</v>
      </c>
      <c r="L16" s="14"/>
      <c r="M16" s="14">
        <v>8</v>
      </c>
      <c r="N16" s="14">
        <v>8</v>
      </c>
      <c r="O16" s="14">
        <v>8</v>
      </c>
      <c r="P16" s="14">
        <v>8</v>
      </c>
      <c r="Q16" s="14">
        <v>8</v>
      </c>
      <c r="R16" s="14"/>
      <c r="S16" s="14"/>
      <c r="T16" s="14">
        <v>8</v>
      </c>
      <c r="U16" s="14">
        <v>8</v>
      </c>
      <c r="V16" s="14">
        <v>8</v>
      </c>
      <c r="W16" s="14">
        <v>8</v>
      </c>
      <c r="X16" s="14">
        <v>8</v>
      </c>
      <c r="Y16" s="14">
        <v>8</v>
      </c>
      <c r="Z16" s="14"/>
      <c r="AA16" s="14">
        <v>8</v>
      </c>
      <c r="AB16" s="14">
        <v>8</v>
      </c>
      <c r="AC16" s="14">
        <v>8</v>
      </c>
      <c r="AD16" s="14">
        <v>8</v>
      </c>
      <c r="AE16" s="14">
        <v>8</v>
      </c>
      <c r="AF16" s="14">
        <v>8</v>
      </c>
      <c r="AG16" s="14"/>
      <c r="AH16" s="14"/>
      <c r="AI16" s="15">
        <f t="shared" si="0"/>
        <v>168</v>
      </c>
      <c r="AJ16" s="139">
        <f>SUM(AI16:AI21)</f>
        <v>867.5</v>
      </c>
      <c r="AK16" s="140">
        <f>AJ16/8</f>
        <v>108.4375</v>
      </c>
    </row>
    <row r="17" spans="1:37" ht="18.75" customHeight="1" x14ac:dyDescent="0.25">
      <c r="A17">
        <v>15</v>
      </c>
      <c r="B17" s="3">
        <v>15</v>
      </c>
      <c r="C17" s="35" t="s">
        <v>22</v>
      </c>
      <c r="D17" s="137"/>
      <c r="E17" s="14"/>
      <c r="F17" s="14"/>
      <c r="G17" s="14">
        <v>8</v>
      </c>
      <c r="H17" s="14">
        <v>8</v>
      </c>
      <c r="I17" s="14">
        <v>8</v>
      </c>
      <c r="J17" s="14">
        <v>8</v>
      </c>
      <c r="K17" s="14">
        <v>8</v>
      </c>
      <c r="L17" s="14">
        <v>8</v>
      </c>
      <c r="M17" s="14">
        <v>8</v>
      </c>
      <c r="N17" s="14"/>
      <c r="O17" s="14">
        <v>8</v>
      </c>
      <c r="P17" s="14">
        <v>8</v>
      </c>
      <c r="Q17" s="14">
        <v>8</v>
      </c>
      <c r="R17" s="14">
        <v>8</v>
      </c>
      <c r="S17" s="14"/>
      <c r="T17" s="14">
        <v>8</v>
      </c>
      <c r="U17" s="14">
        <v>8</v>
      </c>
      <c r="V17" s="14">
        <v>8</v>
      </c>
      <c r="W17" s="14">
        <v>8</v>
      </c>
      <c r="X17" s="14">
        <v>8</v>
      </c>
      <c r="Y17" s="14">
        <v>8</v>
      </c>
      <c r="Z17" s="14">
        <v>8</v>
      </c>
      <c r="AA17" s="14">
        <v>8</v>
      </c>
      <c r="AB17" s="14"/>
      <c r="AC17" s="14">
        <v>8</v>
      </c>
      <c r="AD17" s="14">
        <v>8</v>
      </c>
      <c r="AE17" s="14">
        <v>8</v>
      </c>
      <c r="AF17" s="14">
        <v>8</v>
      </c>
      <c r="AG17" s="14"/>
      <c r="AH17" s="14"/>
      <c r="AI17" s="15">
        <f t="shared" si="0"/>
        <v>184</v>
      </c>
      <c r="AJ17" s="139"/>
      <c r="AK17" s="140"/>
    </row>
    <row r="18" spans="1:37" ht="18.75" customHeight="1" x14ac:dyDescent="0.25">
      <c r="A18">
        <v>16</v>
      </c>
      <c r="B18" s="3">
        <v>16</v>
      </c>
      <c r="C18" s="35" t="s">
        <v>23</v>
      </c>
      <c r="D18" s="137"/>
      <c r="E18" s="14">
        <v>8</v>
      </c>
      <c r="F18" s="14">
        <v>8</v>
      </c>
      <c r="G18" s="14">
        <v>8</v>
      </c>
      <c r="H18" s="14">
        <v>8</v>
      </c>
      <c r="I18" s="14">
        <v>8</v>
      </c>
      <c r="J18" s="14"/>
      <c r="K18" s="14">
        <v>11</v>
      </c>
      <c r="L18" s="14">
        <v>8</v>
      </c>
      <c r="M18" s="14">
        <v>8</v>
      </c>
      <c r="N18" s="14">
        <v>8</v>
      </c>
      <c r="O18" s="14">
        <v>8</v>
      </c>
      <c r="P18" s="14">
        <v>8</v>
      </c>
      <c r="Q18" s="14"/>
      <c r="R18" s="14">
        <v>8</v>
      </c>
      <c r="S18" s="14">
        <v>8</v>
      </c>
      <c r="T18" s="14">
        <v>8</v>
      </c>
      <c r="U18" s="14">
        <v>8</v>
      </c>
      <c r="V18" s="14">
        <v>8</v>
      </c>
      <c r="W18" s="14">
        <v>8</v>
      </c>
      <c r="X18" s="14">
        <v>8</v>
      </c>
      <c r="Y18" s="14"/>
      <c r="Z18" s="14"/>
      <c r="AA18" s="14">
        <v>8</v>
      </c>
      <c r="AB18" s="14">
        <v>8</v>
      </c>
      <c r="AC18" s="14">
        <v>8</v>
      </c>
      <c r="AD18" s="14">
        <v>8</v>
      </c>
      <c r="AE18" s="14">
        <v>8</v>
      </c>
      <c r="AF18" s="14"/>
      <c r="AG18" s="14"/>
      <c r="AH18" s="14">
        <v>8</v>
      </c>
      <c r="AI18" s="15">
        <f t="shared" si="0"/>
        <v>195</v>
      </c>
      <c r="AJ18" s="139"/>
      <c r="AK18" s="140"/>
    </row>
    <row r="19" spans="1:37" ht="18.75" customHeight="1" x14ac:dyDescent="0.25">
      <c r="A19">
        <v>17</v>
      </c>
      <c r="B19" s="34">
        <v>17</v>
      </c>
      <c r="C19" s="35" t="s">
        <v>24</v>
      </c>
      <c r="D19" s="137"/>
      <c r="E19" s="14">
        <v>8.5</v>
      </c>
      <c r="F19" s="14">
        <v>7.5</v>
      </c>
      <c r="G19" s="14">
        <v>8</v>
      </c>
      <c r="H19" s="14">
        <v>8</v>
      </c>
      <c r="I19" s="14">
        <v>8</v>
      </c>
      <c r="J19" s="14">
        <v>8</v>
      </c>
      <c r="K19" s="14">
        <v>8</v>
      </c>
      <c r="L19" s="14"/>
      <c r="M19" s="14"/>
      <c r="N19" s="14">
        <v>8</v>
      </c>
      <c r="O19" s="14">
        <v>8</v>
      </c>
      <c r="P19" s="14">
        <v>8</v>
      </c>
      <c r="Q19" s="14">
        <v>8</v>
      </c>
      <c r="R19" s="14">
        <v>8</v>
      </c>
      <c r="S19" s="14"/>
      <c r="T19" s="14">
        <v>8</v>
      </c>
      <c r="U19" s="14">
        <v>8</v>
      </c>
      <c r="V19" s="14">
        <v>8</v>
      </c>
      <c r="W19" s="14">
        <v>8</v>
      </c>
      <c r="X19" s="14"/>
      <c r="Y19" s="14"/>
      <c r="Z19" s="14"/>
      <c r="AA19" s="14">
        <v>8</v>
      </c>
      <c r="AB19" s="14">
        <v>8</v>
      </c>
      <c r="AC19" s="14"/>
      <c r="AD19" s="14"/>
      <c r="AE19" s="14">
        <v>8</v>
      </c>
      <c r="AF19" s="14">
        <v>8</v>
      </c>
      <c r="AG19" s="14"/>
      <c r="AH19" s="14">
        <v>8</v>
      </c>
      <c r="AI19" s="15">
        <f t="shared" si="0"/>
        <v>168</v>
      </c>
      <c r="AJ19" s="139"/>
      <c r="AK19" s="140"/>
    </row>
    <row r="20" spans="1:37" ht="18.75" customHeight="1" x14ac:dyDescent="0.25">
      <c r="A20">
        <v>19</v>
      </c>
      <c r="B20" s="34">
        <v>18</v>
      </c>
      <c r="C20" s="52" t="s">
        <v>27</v>
      </c>
      <c r="D20" s="137"/>
      <c r="E20" s="14"/>
      <c r="F20" s="14"/>
      <c r="G20" s="14">
        <v>8.5</v>
      </c>
      <c r="H20" s="14">
        <v>8</v>
      </c>
      <c r="I20" s="14">
        <v>8</v>
      </c>
      <c r="J20" s="14">
        <v>8</v>
      </c>
      <c r="K20" s="14">
        <v>8</v>
      </c>
      <c r="L20" s="14"/>
      <c r="M20" s="14">
        <v>8</v>
      </c>
      <c r="N20" s="14"/>
      <c r="O20" s="14"/>
      <c r="P20" s="14"/>
      <c r="Q20" s="14"/>
      <c r="R20" s="14">
        <v>8</v>
      </c>
      <c r="S20" s="14"/>
      <c r="T20" s="14">
        <v>8</v>
      </c>
      <c r="U20" s="14">
        <v>8</v>
      </c>
      <c r="V20" s="14">
        <v>8</v>
      </c>
      <c r="W20" s="14">
        <v>8</v>
      </c>
      <c r="X20" s="14">
        <v>8</v>
      </c>
      <c r="Y20" s="14">
        <v>8</v>
      </c>
      <c r="Z20" s="14"/>
      <c r="AA20" s="14">
        <v>8</v>
      </c>
      <c r="AB20" s="14">
        <v>8</v>
      </c>
      <c r="AC20" s="14">
        <v>8</v>
      </c>
      <c r="AD20" s="14"/>
      <c r="AE20" s="14">
        <v>8</v>
      </c>
      <c r="AF20" s="14">
        <v>8</v>
      </c>
      <c r="AG20" s="14"/>
      <c r="AH20" s="14"/>
      <c r="AI20" s="18">
        <f t="shared" si="0"/>
        <v>144.5</v>
      </c>
      <c r="AJ20" s="139"/>
      <c r="AK20" s="140"/>
    </row>
    <row r="21" spans="1:37" ht="18.75" customHeight="1" x14ac:dyDescent="0.25">
      <c r="A21">
        <v>20</v>
      </c>
      <c r="B21" s="3">
        <v>19</v>
      </c>
      <c r="C21" s="53" t="s">
        <v>28</v>
      </c>
      <c r="D21" s="138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>
        <v>8</v>
      </c>
      <c r="AG21" s="14"/>
      <c r="AH21" s="14"/>
      <c r="AI21" s="18">
        <f t="shared" si="0"/>
        <v>8</v>
      </c>
      <c r="AJ21" s="139"/>
      <c r="AK21" s="140"/>
    </row>
    <row r="22" spans="1:37" ht="18.75" customHeight="1" x14ac:dyDescent="0.25">
      <c r="A22">
        <v>21</v>
      </c>
      <c r="B22" s="34">
        <v>20</v>
      </c>
      <c r="C22" s="36" t="s">
        <v>17</v>
      </c>
      <c r="D22" s="123" t="s">
        <v>30</v>
      </c>
      <c r="E22" s="43"/>
      <c r="F22" s="43"/>
      <c r="G22" s="43">
        <v>8</v>
      </c>
      <c r="H22" s="43">
        <v>8</v>
      </c>
      <c r="I22" s="43"/>
      <c r="J22" s="43">
        <v>8</v>
      </c>
      <c r="K22" s="43">
        <v>8</v>
      </c>
      <c r="L22" s="43"/>
      <c r="M22" s="43">
        <v>8</v>
      </c>
      <c r="N22" s="43">
        <v>8</v>
      </c>
      <c r="O22" s="43">
        <v>8</v>
      </c>
      <c r="P22" s="43">
        <v>8</v>
      </c>
      <c r="Q22" s="43">
        <v>8</v>
      </c>
      <c r="R22" s="43">
        <v>8</v>
      </c>
      <c r="S22" s="43"/>
      <c r="T22" s="43">
        <v>8</v>
      </c>
      <c r="U22" s="43">
        <v>8</v>
      </c>
      <c r="V22" s="43"/>
      <c r="W22" s="43">
        <v>8</v>
      </c>
      <c r="X22" s="43">
        <v>8</v>
      </c>
      <c r="Y22" s="43">
        <v>8</v>
      </c>
      <c r="Z22" s="43"/>
      <c r="AA22" s="43">
        <v>8</v>
      </c>
      <c r="AB22" s="43">
        <v>8</v>
      </c>
      <c r="AC22" s="43">
        <v>8.5</v>
      </c>
      <c r="AD22" s="43">
        <v>8</v>
      </c>
      <c r="AE22" s="43">
        <v>8</v>
      </c>
      <c r="AF22" s="43">
        <v>8</v>
      </c>
      <c r="AG22" s="43"/>
      <c r="AH22" s="43"/>
      <c r="AI22" s="44">
        <f>SUM(E22:AH22)</f>
        <v>168.5</v>
      </c>
      <c r="AJ22" s="126">
        <f>SUM(AI22:AI36)</f>
        <v>2596.5299999999997</v>
      </c>
      <c r="AK22" s="129">
        <f>AJ22/8</f>
        <v>324.56624999999997</v>
      </c>
    </row>
    <row r="23" spans="1:37" ht="18.75" customHeight="1" x14ac:dyDescent="0.25">
      <c r="A23">
        <v>22</v>
      </c>
      <c r="B23" s="34">
        <v>21</v>
      </c>
      <c r="C23" s="36" t="s">
        <v>18</v>
      </c>
      <c r="D23" s="124"/>
      <c r="E23" s="43"/>
      <c r="F23" s="43"/>
      <c r="G23" s="43"/>
      <c r="H23" s="43">
        <v>8</v>
      </c>
      <c r="I23" s="43">
        <v>8</v>
      </c>
      <c r="J23" s="43">
        <v>8</v>
      </c>
      <c r="K23" s="43">
        <v>8</v>
      </c>
      <c r="L23" s="43"/>
      <c r="M23" s="43">
        <v>8</v>
      </c>
      <c r="N23" s="43">
        <v>8</v>
      </c>
      <c r="O23" s="43">
        <v>8</v>
      </c>
      <c r="P23" s="43">
        <v>8</v>
      </c>
      <c r="Q23" s="43">
        <v>8</v>
      </c>
      <c r="R23" s="43">
        <v>8</v>
      </c>
      <c r="S23" s="43"/>
      <c r="T23" s="43">
        <v>8</v>
      </c>
      <c r="U23" s="43"/>
      <c r="V23" s="43"/>
      <c r="W23" s="43">
        <v>8</v>
      </c>
      <c r="X23" s="43">
        <v>8</v>
      </c>
      <c r="Y23" s="43">
        <v>8</v>
      </c>
      <c r="Z23" s="43"/>
      <c r="AA23" s="43">
        <v>8</v>
      </c>
      <c r="AB23" s="43">
        <v>8</v>
      </c>
      <c r="AC23" s="43">
        <v>8</v>
      </c>
      <c r="AD23" s="43">
        <v>8</v>
      </c>
      <c r="AE23" s="43"/>
      <c r="AF23" s="43">
        <v>8</v>
      </c>
      <c r="AG23" s="43"/>
      <c r="AH23" s="43"/>
      <c r="AI23" s="44">
        <f>SUM(E23:AH23)</f>
        <v>152</v>
      </c>
      <c r="AJ23" s="127"/>
      <c r="AK23" s="130"/>
    </row>
    <row r="24" spans="1:37" ht="18.75" customHeight="1" x14ac:dyDescent="0.25">
      <c r="A24">
        <v>23</v>
      </c>
      <c r="B24" s="34">
        <v>22</v>
      </c>
      <c r="C24" s="37" t="s">
        <v>26</v>
      </c>
      <c r="D24" s="124"/>
      <c r="E24" s="45"/>
      <c r="F24" s="45"/>
      <c r="G24" s="45">
        <v>8</v>
      </c>
      <c r="H24" s="45">
        <v>8</v>
      </c>
      <c r="I24" s="45">
        <v>8</v>
      </c>
      <c r="J24" s="45">
        <v>8</v>
      </c>
      <c r="K24" s="45">
        <v>8</v>
      </c>
      <c r="L24" s="45">
        <v>8</v>
      </c>
      <c r="M24" s="45">
        <v>8</v>
      </c>
      <c r="N24" s="45">
        <v>8</v>
      </c>
      <c r="O24" s="45"/>
      <c r="P24" s="45">
        <v>8</v>
      </c>
      <c r="Q24" s="45">
        <v>8</v>
      </c>
      <c r="R24" s="45">
        <v>8</v>
      </c>
      <c r="S24" s="45">
        <v>8</v>
      </c>
      <c r="T24" s="45">
        <v>8</v>
      </c>
      <c r="U24" s="45">
        <v>8</v>
      </c>
      <c r="V24" s="45">
        <v>8</v>
      </c>
      <c r="W24" s="45">
        <v>8</v>
      </c>
      <c r="X24" s="45">
        <v>8</v>
      </c>
      <c r="Y24" s="45"/>
      <c r="Z24" s="45">
        <v>8</v>
      </c>
      <c r="AA24" s="45">
        <v>7.5</v>
      </c>
      <c r="AB24" s="45">
        <v>8</v>
      </c>
      <c r="AC24" s="45">
        <v>8</v>
      </c>
      <c r="AD24" s="45">
        <v>8</v>
      </c>
      <c r="AE24" s="45">
        <v>8</v>
      </c>
      <c r="AF24" s="45">
        <v>8</v>
      </c>
      <c r="AG24" s="45"/>
      <c r="AH24" s="45"/>
      <c r="AI24" s="44">
        <f>SUM(E24:AH24)</f>
        <v>191.5</v>
      </c>
      <c r="AJ24" s="127"/>
      <c r="AK24" s="130"/>
    </row>
    <row r="25" spans="1:37" ht="18.75" customHeight="1" x14ac:dyDescent="0.25">
      <c r="A25">
        <v>24</v>
      </c>
      <c r="B25" s="34">
        <v>23</v>
      </c>
      <c r="C25" s="38" t="s">
        <v>29</v>
      </c>
      <c r="D25" s="124"/>
      <c r="E25" s="46">
        <v>8</v>
      </c>
      <c r="F25" s="46">
        <v>8</v>
      </c>
      <c r="G25" s="46">
        <v>8</v>
      </c>
      <c r="H25" s="46">
        <v>8</v>
      </c>
      <c r="I25" s="46">
        <v>8</v>
      </c>
      <c r="J25" s="46"/>
      <c r="K25" s="46">
        <v>8</v>
      </c>
      <c r="L25" s="46">
        <v>8</v>
      </c>
      <c r="M25" s="46">
        <v>8</v>
      </c>
      <c r="N25" s="46">
        <v>8</v>
      </c>
      <c r="O25" s="46">
        <v>8</v>
      </c>
      <c r="P25" s="46">
        <v>8</v>
      </c>
      <c r="Q25" s="46"/>
      <c r="R25" s="46">
        <v>8</v>
      </c>
      <c r="S25" s="46">
        <v>8</v>
      </c>
      <c r="T25" s="46">
        <v>8</v>
      </c>
      <c r="U25" s="46">
        <v>8</v>
      </c>
      <c r="V25" s="46">
        <v>8</v>
      </c>
      <c r="W25" s="46"/>
      <c r="X25" s="46">
        <v>8</v>
      </c>
      <c r="Y25" s="46">
        <v>8</v>
      </c>
      <c r="Z25" s="46">
        <v>8</v>
      </c>
      <c r="AA25" s="46">
        <v>9.5</v>
      </c>
      <c r="AB25" s="46">
        <v>10</v>
      </c>
      <c r="AC25" s="46">
        <v>8</v>
      </c>
      <c r="AD25" s="46">
        <v>8</v>
      </c>
      <c r="AE25" s="46"/>
      <c r="AF25" s="46">
        <v>8</v>
      </c>
      <c r="AG25" s="46"/>
      <c r="AH25" s="46">
        <v>8</v>
      </c>
      <c r="AI25" s="44">
        <f t="shared" si="0"/>
        <v>203.5</v>
      </c>
      <c r="AJ25" s="127"/>
      <c r="AK25" s="130"/>
    </row>
    <row r="26" spans="1:37" ht="18.75" customHeight="1" x14ac:dyDescent="0.25">
      <c r="B26" s="34">
        <v>24</v>
      </c>
      <c r="C26" s="37" t="s">
        <v>25</v>
      </c>
      <c r="D26" s="124"/>
      <c r="E26" s="45">
        <v>8</v>
      </c>
      <c r="F26" s="45">
        <v>7</v>
      </c>
      <c r="G26" s="45">
        <v>7.5</v>
      </c>
      <c r="H26" s="45">
        <v>5.5</v>
      </c>
      <c r="I26" s="45">
        <v>7</v>
      </c>
      <c r="J26" s="45">
        <v>11</v>
      </c>
      <c r="K26" s="45"/>
      <c r="L26" s="45">
        <v>8</v>
      </c>
      <c r="M26" s="45">
        <v>8</v>
      </c>
      <c r="N26" s="45">
        <v>8</v>
      </c>
      <c r="O26" s="45">
        <v>8</v>
      </c>
      <c r="P26" s="45">
        <v>8</v>
      </c>
      <c r="Q26" s="45">
        <v>8</v>
      </c>
      <c r="R26" s="45">
        <v>8</v>
      </c>
      <c r="S26" s="45">
        <v>8</v>
      </c>
      <c r="T26" s="45"/>
      <c r="U26" s="45">
        <v>7.5</v>
      </c>
      <c r="V26" s="45">
        <v>8</v>
      </c>
      <c r="W26" s="45">
        <v>7.5</v>
      </c>
      <c r="X26" s="45">
        <v>8</v>
      </c>
      <c r="Y26" s="45">
        <v>8</v>
      </c>
      <c r="Z26" s="45">
        <v>8</v>
      </c>
      <c r="AA26" s="45">
        <v>8</v>
      </c>
      <c r="AB26" s="45"/>
      <c r="AC26" s="45">
        <v>7.5</v>
      </c>
      <c r="AD26" s="45">
        <v>8</v>
      </c>
      <c r="AE26" s="45">
        <v>8</v>
      </c>
      <c r="AF26" s="45">
        <v>8</v>
      </c>
      <c r="AG26" s="45"/>
      <c r="AH26" s="45">
        <v>8</v>
      </c>
      <c r="AI26" s="65">
        <f>SUM(E26:AH26)</f>
        <v>204.5</v>
      </c>
      <c r="AJ26" s="127"/>
      <c r="AK26" s="130"/>
    </row>
    <row r="27" spans="1:37" ht="18.75" customHeight="1" x14ac:dyDescent="0.25">
      <c r="A27">
        <v>25</v>
      </c>
      <c r="B27" s="34">
        <v>25</v>
      </c>
      <c r="C27" s="39" t="s">
        <v>31</v>
      </c>
      <c r="D27" s="124"/>
      <c r="E27" s="46"/>
      <c r="F27" s="46"/>
      <c r="G27" s="46"/>
      <c r="H27" s="46"/>
      <c r="I27" s="46"/>
      <c r="J27" s="46"/>
      <c r="K27" s="46"/>
      <c r="L27" s="46"/>
      <c r="M27" s="46">
        <v>8</v>
      </c>
      <c r="N27" s="46">
        <v>8</v>
      </c>
      <c r="O27" s="46">
        <v>8</v>
      </c>
      <c r="P27" s="46">
        <v>8</v>
      </c>
      <c r="Q27" s="46">
        <v>8</v>
      </c>
      <c r="R27" s="46"/>
      <c r="S27" s="46">
        <v>8</v>
      </c>
      <c r="T27" s="46">
        <v>8</v>
      </c>
      <c r="U27" s="46">
        <v>8</v>
      </c>
      <c r="V27" s="46">
        <v>8</v>
      </c>
      <c r="W27" s="46">
        <v>8</v>
      </c>
      <c r="X27" s="46">
        <v>8</v>
      </c>
      <c r="Y27" s="46"/>
      <c r="Z27" s="46">
        <v>8</v>
      </c>
      <c r="AA27" s="46">
        <v>8</v>
      </c>
      <c r="AB27" s="46">
        <v>8</v>
      </c>
      <c r="AC27" s="46">
        <v>8</v>
      </c>
      <c r="AD27" s="46"/>
      <c r="AE27" s="46">
        <v>8</v>
      </c>
      <c r="AF27" s="46">
        <v>8</v>
      </c>
      <c r="AG27" s="46"/>
      <c r="AH27" s="46"/>
      <c r="AI27" s="44">
        <f t="shared" si="0"/>
        <v>136</v>
      </c>
      <c r="AJ27" s="127"/>
      <c r="AK27" s="130"/>
    </row>
    <row r="28" spans="1:37" ht="18.75" customHeight="1" x14ac:dyDescent="0.25">
      <c r="A28">
        <v>26</v>
      </c>
      <c r="B28" s="34">
        <v>26</v>
      </c>
      <c r="C28" s="40" t="s">
        <v>32</v>
      </c>
      <c r="D28" s="124"/>
      <c r="E28" s="46">
        <v>7.53</v>
      </c>
      <c r="F28" s="46">
        <v>8</v>
      </c>
      <c r="G28" s="46">
        <v>8</v>
      </c>
      <c r="H28" s="46">
        <v>8</v>
      </c>
      <c r="I28" s="46">
        <v>8</v>
      </c>
      <c r="J28" s="46">
        <v>8</v>
      </c>
      <c r="K28" s="46">
        <v>8</v>
      </c>
      <c r="L28" s="46">
        <v>8</v>
      </c>
      <c r="M28" s="46"/>
      <c r="N28" s="46">
        <v>8</v>
      </c>
      <c r="O28" s="46">
        <v>8</v>
      </c>
      <c r="P28" s="46">
        <v>8</v>
      </c>
      <c r="Q28" s="46">
        <v>8</v>
      </c>
      <c r="R28" s="46">
        <v>8</v>
      </c>
      <c r="S28" s="46">
        <v>8</v>
      </c>
      <c r="T28" s="46"/>
      <c r="U28" s="46">
        <v>5.5</v>
      </c>
      <c r="V28" s="46">
        <v>8</v>
      </c>
      <c r="W28" s="46"/>
      <c r="X28" s="46">
        <v>8</v>
      </c>
      <c r="Y28" s="46">
        <v>8</v>
      </c>
      <c r="Z28" s="46">
        <v>8</v>
      </c>
      <c r="AA28" s="46"/>
      <c r="AB28" s="46">
        <v>8</v>
      </c>
      <c r="AC28" s="46">
        <v>8</v>
      </c>
      <c r="AD28" s="46">
        <v>8</v>
      </c>
      <c r="AE28" s="46"/>
      <c r="AF28" s="46">
        <v>8</v>
      </c>
      <c r="AG28" s="46"/>
      <c r="AH28" s="46"/>
      <c r="AI28" s="44">
        <f t="shared" si="0"/>
        <v>181.03</v>
      </c>
      <c r="AJ28" s="127"/>
      <c r="AK28" s="130"/>
    </row>
    <row r="29" spans="1:37" ht="18.75" customHeight="1" x14ac:dyDescent="0.25">
      <c r="A29">
        <v>27</v>
      </c>
      <c r="B29" s="34">
        <v>27</v>
      </c>
      <c r="C29" s="40" t="s">
        <v>33</v>
      </c>
      <c r="D29" s="124"/>
      <c r="E29" s="46"/>
      <c r="F29" s="46"/>
      <c r="G29" s="46"/>
      <c r="H29" s="46"/>
      <c r="I29" s="46">
        <v>8</v>
      </c>
      <c r="J29" s="46">
        <v>11</v>
      </c>
      <c r="K29" s="46">
        <v>8</v>
      </c>
      <c r="L29" s="46">
        <v>8</v>
      </c>
      <c r="M29" s="46">
        <v>8</v>
      </c>
      <c r="N29" s="46"/>
      <c r="O29" s="46">
        <v>8</v>
      </c>
      <c r="P29" s="46">
        <v>8</v>
      </c>
      <c r="Q29" s="46">
        <v>8</v>
      </c>
      <c r="R29" s="46">
        <v>8</v>
      </c>
      <c r="S29" s="46">
        <v>8</v>
      </c>
      <c r="T29" s="46">
        <v>8</v>
      </c>
      <c r="U29" s="46"/>
      <c r="V29" s="46">
        <v>8</v>
      </c>
      <c r="W29" s="46">
        <v>8</v>
      </c>
      <c r="X29" s="46">
        <v>8</v>
      </c>
      <c r="Y29" s="46">
        <v>8</v>
      </c>
      <c r="Z29" s="46">
        <v>8</v>
      </c>
      <c r="AA29" s="46">
        <v>8</v>
      </c>
      <c r="AB29" s="46"/>
      <c r="AC29" s="46">
        <v>8</v>
      </c>
      <c r="AD29" s="46">
        <v>8</v>
      </c>
      <c r="AE29" s="46">
        <v>8</v>
      </c>
      <c r="AF29" s="46">
        <v>8</v>
      </c>
      <c r="AG29" s="46"/>
      <c r="AH29" s="46"/>
      <c r="AI29" s="44">
        <f t="shared" si="0"/>
        <v>171</v>
      </c>
      <c r="AJ29" s="127"/>
      <c r="AK29" s="130"/>
    </row>
    <row r="30" spans="1:37" ht="18.75" customHeight="1" x14ac:dyDescent="0.25">
      <c r="A30">
        <v>28</v>
      </c>
      <c r="B30" s="34">
        <v>28</v>
      </c>
      <c r="C30" s="40" t="s">
        <v>34</v>
      </c>
      <c r="D30" s="124"/>
      <c r="E30" s="46"/>
      <c r="F30" s="46"/>
      <c r="G30" s="46"/>
      <c r="H30" s="46"/>
      <c r="I30" s="46"/>
      <c r="J30" s="46">
        <v>8</v>
      </c>
      <c r="K30" s="46">
        <v>8</v>
      </c>
      <c r="L30" s="46">
        <v>8</v>
      </c>
      <c r="M30" s="46">
        <v>8</v>
      </c>
      <c r="N30" s="46">
        <v>8</v>
      </c>
      <c r="O30" s="46">
        <v>8</v>
      </c>
      <c r="P30" s="46"/>
      <c r="Q30" s="46">
        <v>8</v>
      </c>
      <c r="R30" s="46">
        <v>8</v>
      </c>
      <c r="S30" s="46">
        <v>8</v>
      </c>
      <c r="T30" s="46">
        <v>8</v>
      </c>
      <c r="U30" s="46">
        <v>8</v>
      </c>
      <c r="V30" s="46"/>
      <c r="W30" s="46">
        <v>8</v>
      </c>
      <c r="X30" s="46">
        <v>8</v>
      </c>
      <c r="Y30" s="46"/>
      <c r="Z30" s="46">
        <v>8</v>
      </c>
      <c r="AA30" s="46">
        <v>8</v>
      </c>
      <c r="AB30" s="46">
        <v>8</v>
      </c>
      <c r="AC30" s="46"/>
      <c r="AD30" s="46">
        <v>8</v>
      </c>
      <c r="AE30" s="46">
        <v>8</v>
      </c>
      <c r="AF30" s="46"/>
      <c r="AG30" s="46"/>
      <c r="AH30" s="46"/>
      <c r="AI30" s="44">
        <f t="shared" si="0"/>
        <v>144</v>
      </c>
      <c r="AJ30" s="127"/>
      <c r="AK30" s="130"/>
    </row>
    <row r="31" spans="1:37" ht="18.75" customHeight="1" x14ac:dyDescent="0.25">
      <c r="A31">
        <v>29</v>
      </c>
      <c r="B31" s="34">
        <v>29</v>
      </c>
      <c r="C31" s="40" t="s">
        <v>35</v>
      </c>
      <c r="D31" s="124"/>
      <c r="E31" s="46">
        <v>8</v>
      </c>
      <c r="F31" s="46">
        <v>8</v>
      </c>
      <c r="G31" s="46">
        <v>8</v>
      </c>
      <c r="H31" s="46">
        <v>8</v>
      </c>
      <c r="I31" s="46">
        <v>8</v>
      </c>
      <c r="J31" s="46">
        <v>11</v>
      </c>
      <c r="K31" s="46">
        <v>11</v>
      </c>
      <c r="L31" s="46"/>
      <c r="M31" s="46">
        <v>8</v>
      </c>
      <c r="N31" s="46">
        <v>8</v>
      </c>
      <c r="O31" s="46">
        <v>8</v>
      </c>
      <c r="P31" s="46">
        <v>8</v>
      </c>
      <c r="Q31" s="46">
        <v>8</v>
      </c>
      <c r="R31" s="46">
        <v>8</v>
      </c>
      <c r="S31" s="46">
        <v>8</v>
      </c>
      <c r="T31" s="46"/>
      <c r="U31" s="46">
        <v>8</v>
      </c>
      <c r="V31" s="46">
        <v>8</v>
      </c>
      <c r="W31" s="46">
        <v>8</v>
      </c>
      <c r="X31" s="46">
        <v>8</v>
      </c>
      <c r="Y31" s="46">
        <v>8</v>
      </c>
      <c r="Z31" s="46">
        <v>8</v>
      </c>
      <c r="AA31" s="46"/>
      <c r="AB31" s="46">
        <v>8</v>
      </c>
      <c r="AC31" s="46">
        <v>8</v>
      </c>
      <c r="AD31" s="46">
        <v>8</v>
      </c>
      <c r="AE31" s="46">
        <v>8</v>
      </c>
      <c r="AF31" s="46">
        <v>8</v>
      </c>
      <c r="AG31" s="46"/>
      <c r="AH31" s="46">
        <v>8</v>
      </c>
      <c r="AI31" s="44">
        <f t="shared" si="0"/>
        <v>214</v>
      </c>
      <c r="AJ31" s="127"/>
      <c r="AK31" s="130"/>
    </row>
    <row r="32" spans="1:37" ht="18.75" customHeight="1" x14ac:dyDescent="0.25">
      <c r="A32">
        <v>30</v>
      </c>
      <c r="B32" s="34">
        <v>30</v>
      </c>
      <c r="C32" s="40" t="s">
        <v>36</v>
      </c>
      <c r="D32" s="124"/>
      <c r="E32" s="46"/>
      <c r="F32" s="46"/>
      <c r="G32" s="46">
        <v>8</v>
      </c>
      <c r="H32" s="46">
        <v>8</v>
      </c>
      <c r="I32" s="46">
        <v>7.5</v>
      </c>
      <c r="J32" s="46">
        <v>8</v>
      </c>
      <c r="K32" s="46">
        <v>8</v>
      </c>
      <c r="L32" s="46">
        <v>8</v>
      </c>
      <c r="M32" s="46">
        <v>8</v>
      </c>
      <c r="N32" s="46"/>
      <c r="O32" s="46">
        <v>8</v>
      </c>
      <c r="P32" s="46">
        <v>8</v>
      </c>
      <c r="Q32" s="46">
        <v>8</v>
      </c>
      <c r="R32" s="46">
        <v>8</v>
      </c>
      <c r="S32" s="46"/>
      <c r="T32" s="46">
        <v>8</v>
      </c>
      <c r="U32" s="46">
        <v>8</v>
      </c>
      <c r="V32" s="46">
        <v>8</v>
      </c>
      <c r="W32" s="46">
        <v>8</v>
      </c>
      <c r="X32" s="46">
        <v>8</v>
      </c>
      <c r="Y32" s="46">
        <v>8</v>
      </c>
      <c r="Z32" s="46"/>
      <c r="AA32" s="46">
        <v>8</v>
      </c>
      <c r="AB32" s="46">
        <v>10</v>
      </c>
      <c r="AC32" s="46"/>
      <c r="AD32" s="46">
        <v>8</v>
      </c>
      <c r="AE32" s="46">
        <v>8</v>
      </c>
      <c r="AF32" s="46">
        <v>8</v>
      </c>
      <c r="AG32" s="46"/>
      <c r="AH32" s="46"/>
      <c r="AI32" s="44">
        <f t="shared" si="0"/>
        <v>177.5</v>
      </c>
      <c r="AJ32" s="127"/>
      <c r="AK32" s="130"/>
    </row>
    <row r="33" spans="1:37" ht="18.75" customHeight="1" x14ac:dyDescent="0.25">
      <c r="A33">
        <v>31</v>
      </c>
      <c r="B33" s="34">
        <v>31</v>
      </c>
      <c r="C33" s="41" t="s">
        <v>37</v>
      </c>
      <c r="D33" s="124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>
        <v>8</v>
      </c>
      <c r="Q33" s="46"/>
      <c r="R33" s="46">
        <v>8</v>
      </c>
      <c r="S33" s="46">
        <v>8</v>
      </c>
      <c r="T33" s="46">
        <v>8</v>
      </c>
      <c r="U33" s="46">
        <v>8</v>
      </c>
      <c r="V33" s="46">
        <v>8</v>
      </c>
      <c r="W33" s="46">
        <v>8</v>
      </c>
      <c r="X33" s="46">
        <v>8</v>
      </c>
      <c r="Y33" s="46">
        <v>8</v>
      </c>
      <c r="Z33" s="46"/>
      <c r="AA33" s="46">
        <v>9.5</v>
      </c>
      <c r="AB33" s="46">
        <v>10</v>
      </c>
      <c r="AC33" s="46"/>
      <c r="AD33" s="46">
        <v>8</v>
      </c>
      <c r="AE33" s="46">
        <v>8</v>
      </c>
      <c r="AF33" s="46">
        <v>8</v>
      </c>
      <c r="AG33" s="46"/>
      <c r="AH33" s="46"/>
      <c r="AI33" s="44">
        <f t="shared" si="0"/>
        <v>115.5</v>
      </c>
      <c r="AJ33" s="127"/>
      <c r="AK33" s="130"/>
    </row>
    <row r="34" spans="1:37" ht="18.75" customHeight="1" x14ac:dyDescent="0.25">
      <c r="A34">
        <v>32</v>
      </c>
      <c r="B34" s="34">
        <v>32</v>
      </c>
      <c r="C34" s="41" t="s">
        <v>38</v>
      </c>
      <c r="D34" s="124"/>
      <c r="E34" s="47"/>
      <c r="F34" s="47"/>
      <c r="G34" s="47">
        <v>7.5</v>
      </c>
      <c r="H34" s="47">
        <v>8</v>
      </c>
      <c r="I34" s="47">
        <v>8</v>
      </c>
      <c r="J34" s="47">
        <v>8</v>
      </c>
      <c r="K34" s="47"/>
      <c r="L34" s="47"/>
      <c r="M34" s="47">
        <v>8</v>
      </c>
      <c r="N34" s="47">
        <v>8</v>
      </c>
      <c r="O34" s="47">
        <v>8</v>
      </c>
      <c r="P34" s="47">
        <v>8</v>
      </c>
      <c r="Q34" s="47">
        <v>8</v>
      </c>
      <c r="R34" s="47">
        <v>8</v>
      </c>
      <c r="S34" s="47"/>
      <c r="T34" s="47">
        <v>8</v>
      </c>
      <c r="U34" s="47">
        <v>8</v>
      </c>
      <c r="V34" s="47">
        <v>8</v>
      </c>
      <c r="W34" s="47">
        <v>8</v>
      </c>
      <c r="X34" s="47">
        <v>8</v>
      </c>
      <c r="Y34" s="47">
        <v>8</v>
      </c>
      <c r="Z34" s="47"/>
      <c r="AA34" s="47">
        <v>8</v>
      </c>
      <c r="AB34" s="47">
        <v>8</v>
      </c>
      <c r="AC34" s="47">
        <v>8</v>
      </c>
      <c r="AD34" s="47">
        <v>8</v>
      </c>
      <c r="AE34" s="47">
        <v>8</v>
      </c>
      <c r="AF34" s="47">
        <v>8</v>
      </c>
      <c r="AG34" s="47"/>
      <c r="AH34" s="47"/>
      <c r="AI34" s="44">
        <f t="shared" si="0"/>
        <v>175.5</v>
      </c>
      <c r="AJ34" s="127"/>
      <c r="AK34" s="130"/>
    </row>
    <row r="35" spans="1:37" ht="18.75" customHeight="1" x14ac:dyDescent="0.25">
      <c r="A35">
        <v>33</v>
      </c>
      <c r="B35" s="34">
        <v>33</v>
      </c>
      <c r="C35" s="42" t="s">
        <v>39</v>
      </c>
      <c r="D35" s="124"/>
      <c r="E35" s="48"/>
      <c r="F35" s="49"/>
      <c r="G35" s="49"/>
      <c r="H35" s="50">
        <v>8</v>
      </c>
      <c r="I35" s="50">
        <v>8</v>
      </c>
      <c r="J35" s="50">
        <v>8</v>
      </c>
      <c r="K35" s="50">
        <v>8</v>
      </c>
      <c r="L35" s="49"/>
      <c r="M35" s="50">
        <v>8</v>
      </c>
      <c r="N35" s="50">
        <v>8</v>
      </c>
      <c r="O35" s="50">
        <v>8</v>
      </c>
      <c r="P35" s="50">
        <v>8</v>
      </c>
      <c r="Q35" s="50">
        <v>8</v>
      </c>
      <c r="R35" s="50">
        <v>8</v>
      </c>
      <c r="S35" s="50"/>
      <c r="T35" s="50">
        <v>8</v>
      </c>
      <c r="U35" s="50">
        <v>8</v>
      </c>
      <c r="V35" s="50">
        <v>8</v>
      </c>
      <c r="W35" s="50">
        <v>8</v>
      </c>
      <c r="X35" s="50">
        <v>8</v>
      </c>
      <c r="Y35" s="50">
        <v>8</v>
      </c>
      <c r="Z35" s="50"/>
      <c r="AA35" s="50">
        <v>8</v>
      </c>
      <c r="AB35" s="50">
        <v>10</v>
      </c>
      <c r="AC35" s="50">
        <v>8</v>
      </c>
      <c r="AD35" s="50">
        <v>8</v>
      </c>
      <c r="AE35" s="50">
        <v>8</v>
      </c>
      <c r="AF35" s="50">
        <v>8</v>
      </c>
      <c r="AG35" s="50"/>
      <c r="AH35" s="50"/>
      <c r="AI35" s="44">
        <f t="shared" si="0"/>
        <v>178</v>
      </c>
      <c r="AJ35" s="127"/>
      <c r="AK35" s="130"/>
    </row>
    <row r="36" spans="1:37" ht="18.75" customHeight="1" x14ac:dyDescent="0.25">
      <c r="A36">
        <v>34</v>
      </c>
      <c r="B36" s="34">
        <v>34</v>
      </c>
      <c r="C36" s="42" t="s">
        <v>46</v>
      </c>
      <c r="D36" s="125"/>
      <c r="E36" s="48"/>
      <c r="F36" s="49"/>
      <c r="G36" s="50">
        <v>8</v>
      </c>
      <c r="H36" s="50">
        <v>8</v>
      </c>
      <c r="I36" s="50">
        <v>8</v>
      </c>
      <c r="J36" s="50">
        <v>8</v>
      </c>
      <c r="K36" s="50">
        <v>8</v>
      </c>
      <c r="L36" s="49"/>
      <c r="M36" s="50">
        <v>8</v>
      </c>
      <c r="N36" s="50">
        <v>8</v>
      </c>
      <c r="O36" s="50">
        <v>8</v>
      </c>
      <c r="P36" s="50">
        <v>8</v>
      </c>
      <c r="Q36" s="50">
        <v>8</v>
      </c>
      <c r="R36" s="50">
        <v>8</v>
      </c>
      <c r="S36" s="50"/>
      <c r="T36" s="50">
        <v>8</v>
      </c>
      <c r="U36" s="50">
        <v>8</v>
      </c>
      <c r="V36" s="50">
        <v>8</v>
      </c>
      <c r="W36" s="50">
        <v>8</v>
      </c>
      <c r="X36" s="50">
        <v>8</v>
      </c>
      <c r="Y36" s="50">
        <v>8</v>
      </c>
      <c r="Z36" s="50"/>
      <c r="AA36" s="50">
        <v>8</v>
      </c>
      <c r="AB36" s="50">
        <v>8</v>
      </c>
      <c r="AC36" s="50">
        <v>8</v>
      </c>
      <c r="AD36" s="50">
        <v>8</v>
      </c>
      <c r="AE36" s="50">
        <v>8</v>
      </c>
      <c r="AF36" s="50">
        <v>8</v>
      </c>
      <c r="AG36" s="50"/>
      <c r="AH36" s="50"/>
      <c r="AI36" s="44">
        <f t="shared" si="0"/>
        <v>184</v>
      </c>
      <c r="AJ36" s="128"/>
      <c r="AK36" s="131"/>
    </row>
    <row r="37" spans="1:37" ht="15" customHeight="1" x14ac:dyDescent="0.25">
      <c r="B37" s="109" t="s">
        <v>43</v>
      </c>
      <c r="C37" s="109"/>
      <c r="D37" s="109"/>
      <c r="E37" s="109"/>
      <c r="F37" s="109"/>
      <c r="G37" s="109"/>
      <c r="H37" s="109"/>
      <c r="I37" s="109"/>
      <c r="J37" s="109" t="s">
        <v>44</v>
      </c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 t="s">
        <v>45</v>
      </c>
      <c r="AD37" s="109"/>
      <c r="AE37" s="109"/>
      <c r="AF37" s="109"/>
      <c r="AG37" s="109"/>
      <c r="AH37" s="109"/>
      <c r="AI37" s="109"/>
      <c r="AJ37" s="109"/>
      <c r="AK37" s="109"/>
    </row>
    <row r="38" spans="1:37" ht="15" customHeight="1" x14ac:dyDescent="0.25"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</row>
    <row r="39" spans="1:37" ht="15" customHeight="1" x14ac:dyDescent="0.25"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</row>
    <row r="40" spans="1:37" ht="15" customHeight="1" x14ac:dyDescent="0.25"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</row>
    <row r="41" spans="1:37" ht="41.25" customHeight="1" x14ac:dyDescent="0.25"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</row>
    <row r="42" spans="1:37" ht="15" customHeight="1" x14ac:dyDescent="0.25"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</row>
    <row r="43" spans="1:37" ht="15" customHeight="1" x14ac:dyDescent="0.25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</row>
  </sheetData>
  <mergeCells count="13">
    <mergeCell ref="B1:AK1"/>
    <mergeCell ref="D3:D15"/>
    <mergeCell ref="AJ3:AJ15"/>
    <mergeCell ref="AK3:AK15"/>
    <mergeCell ref="D16:D21"/>
    <mergeCell ref="AJ16:AJ21"/>
    <mergeCell ref="AK16:AK21"/>
    <mergeCell ref="B37:I41"/>
    <mergeCell ref="J37:AB41"/>
    <mergeCell ref="AC37:AK41"/>
    <mergeCell ref="D22:D36"/>
    <mergeCell ref="AJ22:AJ36"/>
    <mergeCell ref="AK22:AK36"/>
  </mergeCells>
  <pageMargins left="0.45" right="0.2" top="0.25" bottom="0" header="0.3" footer="0.3"/>
  <pageSetup scale="7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43"/>
  <sheetViews>
    <sheetView tabSelected="1" workbookViewId="0">
      <selection activeCell="AM22" sqref="AM22:AM27"/>
    </sheetView>
  </sheetViews>
  <sheetFormatPr defaultRowHeight="15" x14ac:dyDescent="0.25"/>
  <cols>
    <col min="1" max="1" width="3.7109375" customWidth="1"/>
    <col min="2" max="2" width="20.5703125" customWidth="1"/>
    <col min="3" max="3" width="14.140625" style="73" customWidth="1"/>
    <col min="4" max="4" width="5.140625" customWidth="1"/>
    <col min="5" max="32" width="3.42578125" customWidth="1"/>
    <col min="33" max="33" width="7.28515625" customWidth="1"/>
    <col min="34" max="34" width="6.5703125" bestFit="1" customWidth="1"/>
    <col min="35" max="35" width="5.85546875" customWidth="1"/>
    <col min="36" max="36" width="8.7109375" customWidth="1"/>
    <col min="37" max="37" width="10.42578125" customWidth="1"/>
    <col min="38" max="38" width="17.5703125" bestFit="1" customWidth="1"/>
    <col min="44" max="44" width="9.5703125" bestFit="1" customWidth="1"/>
  </cols>
  <sheetData>
    <row r="1" spans="1:44" s="61" customFormat="1" ht="24" thickBot="1" x14ac:dyDescent="0.4">
      <c r="A1" s="132" t="s">
        <v>41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3"/>
    </row>
    <row r="2" spans="1:44" ht="22.5" customHeight="1" x14ac:dyDescent="0.25">
      <c r="A2" s="62" t="s">
        <v>48</v>
      </c>
      <c r="B2" s="77" t="s">
        <v>84</v>
      </c>
      <c r="C2" s="76" t="s">
        <v>83</v>
      </c>
      <c r="D2" s="31" t="s">
        <v>1</v>
      </c>
      <c r="E2" s="54">
        <v>1</v>
      </c>
      <c r="F2" s="54">
        <v>2</v>
      </c>
      <c r="G2" s="54">
        <v>3</v>
      </c>
      <c r="H2" s="54">
        <v>4</v>
      </c>
      <c r="I2" s="54">
        <v>5</v>
      </c>
      <c r="J2" s="54">
        <v>6</v>
      </c>
      <c r="K2" s="54">
        <v>7</v>
      </c>
      <c r="L2" s="54">
        <v>8</v>
      </c>
      <c r="M2" s="54">
        <v>9</v>
      </c>
      <c r="N2" s="54">
        <v>10</v>
      </c>
      <c r="O2" s="54">
        <v>11</v>
      </c>
      <c r="P2" s="54">
        <v>12</v>
      </c>
      <c r="Q2" s="54">
        <v>13</v>
      </c>
      <c r="R2" s="54">
        <v>14</v>
      </c>
      <c r="S2" s="54">
        <v>15</v>
      </c>
      <c r="T2" s="54">
        <v>16</v>
      </c>
      <c r="U2" s="54">
        <v>17</v>
      </c>
      <c r="V2" s="54">
        <v>18</v>
      </c>
      <c r="W2" s="54">
        <v>19</v>
      </c>
      <c r="X2" s="54">
        <v>20</v>
      </c>
      <c r="Y2" s="54">
        <v>21</v>
      </c>
      <c r="Z2" s="54">
        <v>22</v>
      </c>
      <c r="AA2" s="54">
        <v>23</v>
      </c>
      <c r="AB2" s="54">
        <v>24</v>
      </c>
      <c r="AC2" s="54">
        <v>25</v>
      </c>
      <c r="AD2" s="54">
        <v>26</v>
      </c>
      <c r="AE2" s="54">
        <v>27</v>
      </c>
      <c r="AF2" s="54">
        <v>28</v>
      </c>
      <c r="AG2" s="55">
        <v>46052</v>
      </c>
      <c r="AH2" s="56">
        <v>46053</v>
      </c>
      <c r="AI2" s="31" t="s">
        <v>2</v>
      </c>
      <c r="AJ2" s="79" t="s">
        <v>3</v>
      </c>
      <c r="AK2" s="60" t="s">
        <v>4</v>
      </c>
    </row>
    <row r="3" spans="1:44" ht="18.75" customHeight="1" x14ac:dyDescent="0.25">
      <c r="A3" s="3">
        <v>1</v>
      </c>
      <c r="B3" s="63" t="s">
        <v>42</v>
      </c>
      <c r="C3" s="75" t="s">
        <v>72</v>
      </c>
      <c r="D3" s="113" t="s">
        <v>5</v>
      </c>
      <c r="E3" s="5"/>
      <c r="F3" s="5"/>
      <c r="G3" s="5">
        <v>5</v>
      </c>
      <c r="H3" s="5">
        <v>8</v>
      </c>
      <c r="I3" s="5">
        <v>8</v>
      </c>
      <c r="J3" s="5">
        <v>8</v>
      </c>
      <c r="K3" s="5">
        <v>8</v>
      </c>
      <c r="L3" s="5"/>
      <c r="M3" s="5">
        <v>8</v>
      </c>
      <c r="N3" s="5">
        <v>8</v>
      </c>
      <c r="O3" s="5">
        <v>8</v>
      </c>
      <c r="P3" s="5">
        <v>8</v>
      </c>
      <c r="Q3" s="5">
        <v>8</v>
      </c>
      <c r="R3" s="5">
        <v>8</v>
      </c>
      <c r="S3" s="5"/>
      <c r="T3" s="5">
        <v>8</v>
      </c>
      <c r="U3" s="5">
        <v>8</v>
      </c>
      <c r="V3" s="5">
        <v>8</v>
      </c>
      <c r="W3" s="5">
        <v>8</v>
      </c>
      <c r="X3" s="5">
        <v>8</v>
      </c>
      <c r="Y3" s="5">
        <v>8</v>
      </c>
      <c r="Z3" s="5"/>
      <c r="AA3" s="5"/>
      <c r="AB3" s="5"/>
      <c r="AC3" s="5">
        <v>8.5</v>
      </c>
      <c r="AD3" s="5">
        <v>8</v>
      </c>
      <c r="AE3" s="5">
        <v>8</v>
      </c>
      <c r="AF3" s="5">
        <v>8</v>
      </c>
      <c r="AG3" s="5"/>
      <c r="AH3" s="5"/>
      <c r="AI3" s="5">
        <f>SUM(E3:AH3)</f>
        <v>165.5</v>
      </c>
      <c r="AJ3" s="134">
        <f>SUM(AI3:AI15)</f>
        <v>2411</v>
      </c>
      <c r="AK3" s="135">
        <f>SUM(AJ3/8)</f>
        <v>301.375</v>
      </c>
      <c r="AL3" s="99" t="s">
        <v>110</v>
      </c>
      <c r="AM3" s="100">
        <v>25225</v>
      </c>
      <c r="AN3">
        <v>43.375</v>
      </c>
      <c r="AR3" s="103">
        <v>43.053570000000001</v>
      </c>
    </row>
    <row r="4" spans="1:44" ht="18.75" customHeight="1" x14ac:dyDescent="0.25">
      <c r="A4" s="3">
        <v>2</v>
      </c>
      <c r="B4" s="63" t="s">
        <v>6</v>
      </c>
      <c r="C4" s="70" t="s">
        <v>81</v>
      </c>
      <c r="D4" s="114"/>
      <c r="E4" s="6"/>
      <c r="F4" s="6">
        <v>8</v>
      </c>
      <c r="G4" s="6">
        <v>11</v>
      </c>
      <c r="H4" s="6">
        <v>11</v>
      </c>
      <c r="I4" s="6">
        <v>11</v>
      </c>
      <c r="J4" s="6">
        <v>11</v>
      </c>
      <c r="K4" s="6">
        <v>11</v>
      </c>
      <c r="L4" s="6">
        <v>11</v>
      </c>
      <c r="M4" s="6">
        <v>11</v>
      </c>
      <c r="N4" s="6">
        <v>11</v>
      </c>
      <c r="O4" s="6"/>
      <c r="P4" s="6">
        <v>10</v>
      </c>
      <c r="Q4" s="6">
        <v>11</v>
      </c>
      <c r="R4" s="6">
        <v>11</v>
      </c>
      <c r="S4" s="6">
        <v>11</v>
      </c>
      <c r="T4" s="6">
        <v>11</v>
      </c>
      <c r="U4" s="6">
        <v>11</v>
      </c>
      <c r="V4" s="6">
        <v>11</v>
      </c>
      <c r="W4" s="6">
        <v>11</v>
      </c>
      <c r="X4" s="6"/>
      <c r="Y4" s="6">
        <v>11</v>
      </c>
      <c r="Z4" s="6">
        <v>10</v>
      </c>
      <c r="AA4" s="6">
        <v>10</v>
      </c>
      <c r="AB4" s="6">
        <v>8</v>
      </c>
      <c r="AC4" s="6">
        <v>10</v>
      </c>
      <c r="AD4" s="6">
        <v>10</v>
      </c>
      <c r="AE4" s="6">
        <v>10</v>
      </c>
      <c r="AF4" s="6">
        <v>10</v>
      </c>
      <c r="AG4" s="6"/>
      <c r="AH4" s="6"/>
      <c r="AI4" s="7">
        <f t="shared" ref="AI4:AI31" si="0">SUM(E4:AH4)</f>
        <v>262</v>
      </c>
      <c r="AJ4" s="134"/>
      <c r="AK4" s="135"/>
      <c r="AL4" s="99" t="s">
        <v>111</v>
      </c>
      <c r="AM4" s="100">
        <v>25320</v>
      </c>
      <c r="AN4">
        <v>43</v>
      </c>
      <c r="AR4" s="103">
        <v>43.053570000000001</v>
      </c>
    </row>
    <row r="5" spans="1:44" ht="18.75" customHeight="1" x14ac:dyDescent="0.25">
      <c r="A5" s="3">
        <v>3</v>
      </c>
      <c r="B5" s="8" t="s">
        <v>7</v>
      </c>
      <c r="C5" s="70" t="s">
        <v>75</v>
      </c>
      <c r="D5" s="114"/>
      <c r="E5" s="6">
        <v>10</v>
      </c>
      <c r="F5" s="6">
        <v>10</v>
      </c>
      <c r="G5" s="6">
        <v>10</v>
      </c>
      <c r="H5" s="6">
        <v>9</v>
      </c>
      <c r="I5" s="6">
        <v>10</v>
      </c>
      <c r="J5" s="6">
        <v>8</v>
      </c>
      <c r="K5" s="6">
        <v>11</v>
      </c>
      <c r="L5" s="6">
        <v>10</v>
      </c>
      <c r="M5" s="6">
        <v>10</v>
      </c>
      <c r="N5" s="6"/>
      <c r="O5" s="6">
        <v>11</v>
      </c>
      <c r="P5" s="6">
        <v>11</v>
      </c>
      <c r="Q5" s="6">
        <v>11</v>
      </c>
      <c r="R5" s="6">
        <v>11</v>
      </c>
      <c r="S5" s="6">
        <v>11</v>
      </c>
      <c r="T5" s="6"/>
      <c r="U5" s="6"/>
      <c r="V5" s="6">
        <v>11</v>
      </c>
      <c r="W5" s="6">
        <v>11</v>
      </c>
      <c r="X5" s="6">
        <v>11</v>
      </c>
      <c r="Y5" s="6">
        <v>11</v>
      </c>
      <c r="Z5" s="6">
        <v>11</v>
      </c>
      <c r="AA5" s="6">
        <v>8</v>
      </c>
      <c r="AB5" s="6">
        <v>10</v>
      </c>
      <c r="AC5" s="6"/>
      <c r="AD5" s="6">
        <v>11</v>
      </c>
      <c r="AE5" s="6">
        <v>11</v>
      </c>
      <c r="AF5" s="6">
        <v>11</v>
      </c>
      <c r="AG5" s="6"/>
      <c r="AH5" s="6"/>
      <c r="AI5" s="9">
        <f t="shared" si="0"/>
        <v>249</v>
      </c>
      <c r="AJ5" s="134"/>
      <c r="AK5" s="135"/>
      <c r="AL5" s="99" t="s">
        <v>112</v>
      </c>
      <c r="AM5" s="100">
        <v>25325</v>
      </c>
      <c r="AN5">
        <v>43</v>
      </c>
      <c r="AR5" s="103">
        <v>43.053570000000001</v>
      </c>
    </row>
    <row r="6" spans="1:44" ht="18.75" customHeight="1" x14ac:dyDescent="0.25">
      <c r="A6" s="3">
        <v>4</v>
      </c>
      <c r="B6" s="8" t="s">
        <v>8</v>
      </c>
      <c r="C6" s="70" t="s">
        <v>79</v>
      </c>
      <c r="D6" s="114"/>
      <c r="E6" s="6">
        <v>10</v>
      </c>
      <c r="F6" s="6">
        <v>10</v>
      </c>
      <c r="G6" s="6">
        <v>11</v>
      </c>
      <c r="H6" s="6">
        <v>11</v>
      </c>
      <c r="I6" s="6">
        <v>11</v>
      </c>
      <c r="J6" s="6">
        <v>11</v>
      </c>
      <c r="K6" s="6">
        <v>11</v>
      </c>
      <c r="L6" s="6">
        <v>11</v>
      </c>
      <c r="M6" s="6"/>
      <c r="N6" s="6">
        <v>10</v>
      </c>
      <c r="O6" s="6">
        <v>10</v>
      </c>
      <c r="P6" s="6">
        <v>10</v>
      </c>
      <c r="Q6" s="6">
        <v>10</v>
      </c>
      <c r="R6" s="6">
        <v>10</v>
      </c>
      <c r="S6" s="6">
        <v>10</v>
      </c>
      <c r="T6" s="6">
        <v>10</v>
      </c>
      <c r="U6" s="6">
        <v>10</v>
      </c>
      <c r="V6" s="6">
        <v>10</v>
      </c>
      <c r="W6" s="6"/>
      <c r="X6" s="6">
        <v>11</v>
      </c>
      <c r="Y6" s="6">
        <v>11</v>
      </c>
      <c r="Z6" s="6">
        <v>11</v>
      </c>
      <c r="AA6" s="6">
        <v>11</v>
      </c>
      <c r="AB6" s="6">
        <v>11</v>
      </c>
      <c r="AC6" s="6">
        <v>11</v>
      </c>
      <c r="AD6" s="6"/>
      <c r="AE6" s="6">
        <v>10</v>
      </c>
      <c r="AF6" s="6">
        <v>10</v>
      </c>
      <c r="AG6" s="6"/>
      <c r="AH6" s="6">
        <v>11</v>
      </c>
      <c r="AI6" s="9">
        <f>SUM(E6:AH6)</f>
        <v>273</v>
      </c>
      <c r="AJ6" s="134"/>
      <c r="AK6" s="135"/>
      <c r="AL6" s="99" t="s">
        <v>113</v>
      </c>
      <c r="AM6" s="100">
        <v>25981</v>
      </c>
      <c r="AN6">
        <v>43</v>
      </c>
      <c r="AR6" s="103">
        <v>43.053570000000001</v>
      </c>
    </row>
    <row r="7" spans="1:44" ht="18.75" customHeight="1" x14ac:dyDescent="0.25">
      <c r="A7" s="3">
        <v>5</v>
      </c>
      <c r="B7" s="10" t="s">
        <v>9</v>
      </c>
      <c r="C7" s="74" t="s">
        <v>82</v>
      </c>
      <c r="D7" s="114"/>
      <c r="E7" s="6">
        <v>10</v>
      </c>
      <c r="F7" s="6">
        <v>11</v>
      </c>
      <c r="G7" s="6">
        <v>11</v>
      </c>
      <c r="H7" s="6">
        <v>11</v>
      </c>
      <c r="I7" s="6">
        <v>10</v>
      </c>
      <c r="J7" s="6">
        <v>11</v>
      </c>
      <c r="K7" s="6"/>
      <c r="L7" s="6">
        <v>8</v>
      </c>
      <c r="M7" s="6">
        <v>11</v>
      </c>
      <c r="N7" s="6">
        <v>11</v>
      </c>
      <c r="O7" s="6">
        <v>11</v>
      </c>
      <c r="P7" s="6">
        <v>11</v>
      </c>
      <c r="Q7" s="6">
        <v>10</v>
      </c>
      <c r="R7" s="6"/>
      <c r="S7" s="6">
        <v>10</v>
      </c>
      <c r="T7" s="6">
        <v>11</v>
      </c>
      <c r="U7" s="6">
        <v>10</v>
      </c>
      <c r="V7" s="6">
        <v>8</v>
      </c>
      <c r="W7" s="6">
        <v>10</v>
      </c>
      <c r="X7" s="6">
        <v>10</v>
      </c>
      <c r="Y7" s="6"/>
      <c r="Z7" s="6">
        <v>10</v>
      </c>
      <c r="AA7" s="6">
        <v>10</v>
      </c>
      <c r="AB7" s="6">
        <v>11</v>
      </c>
      <c r="AC7" s="6">
        <v>11</v>
      </c>
      <c r="AD7" s="6">
        <v>11</v>
      </c>
      <c r="AE7" s="6">
        <v>11</v>
      </c>
      <c r="AF7" s="6"/>
      <c r="AG7" s="6"/>
      <c r="AH7" s="6"/>
      <c r="AI7" s="9">
        <f t="shared" si="0"/>
        <v>249</v>
      </c>
      <c r="AJ7" s="134"/>
      <c r="AK7" s="135"/>
      <c r="AL7" s="99" t="s">
        <v>114</v>
      </c>
      <c r="AM7" s="100">
        <v>25032</v>
      </c>
      <c r="AN7">
        <v>43</v>
      </c>
      <c r="AR7" s="103">
        <v>43.053570000000001</v>
      </c>
    </row>
    <row r="8" spans="1:44" ht="18.75" customHeight="1" x14ac:dyDescent="0.25">
      <c r="A8" s="3">
        <v>6</v>
      </c>
      <c r="B8" s="8" t="s">
        <v>10</v>
      </c>
      <c r="C8" s="70" t="s">
        <v>78</v>
      </c>
      <c r="D8" s="114"/>
      <c r="E8" s="6">
        <v>10</v>
      </c>
      <c r="F8" s="6">
        <v>9</v>
      </c>
      <c r="G8" s="6">
        <v>9.5</v>
      </c>
      <c r="H8" s="6">
        <v>10</v>
      </c>
      <c r="I8" s="6">
        <v>10</v>
      </c>
      <c r="J8" s="6">
        <v>10</v>
      </c>
      <c r="K8" s="6">
        <v>10</v>
      </c>
      <c r="L8" s="6"/>
      <c r="M8" s="6">
        <v>11</v>
      </c>
      <c r="N8" s="6">
        <v>11</v>
      </c>
      <c r="O8" s="6">
        <v>10</v>
      </c>
      <c r="P8" s="6">
        <v>11</v>
      </c>
      <c r="Q8" s="6">
        <v>10</v>
      </c>
      <c r="R8" s="6">
        <v>10</v>
      </c>
      <c r="S8" s="6"/>
      <c r="T8" s="6">
        <v>10</v>
      </c>
      <c r="U8" s="6">
        <v>10</v>
      </c>
      <c r="V8" s="6">
        <v>10</v>
      </c>
      <c r="W8" s="6">
        <v>10</v>
      </c>
      <c r="X8" s="6">
        <v>10</v>
      </c>
      <c r="Y8" s="6">
        <v>10</v>
      </c>
      <c r="Z8" s="6"/>
      <c r="AA8" s="6">
        <v>10</v>
      </c>
      <c r="AB8" s="6">
        <v>9.5</v>
      </c>
      <c r="AC8" s="6">
        <v>10</v>
      </c>
      <c r="AD8" s="6">
        <v>10</v>
      </c>
      <c r="AE8" s="6">
        <v>10</v>
      </c>
      <c r="AF8" s="6">
        <v>11</v>
      </c>
      <c r="AG8" s="6">
        <v>12</v>
      </c>
      <c r="AH8" s="6">
        <v>12</v>
      </c>
      <c r="AI8" s="9">
        <f t="shared" si="0"/>
        <v>276</v>
      </c>
      <c r="AJ8" s="134"/>
      <c r="AK8" s="135"/>
      <c r="AL8" s="101" t="s">
        <v>115</v>
      </c>
      <c r="AM8" s="100">
        <v>25032</v>
      </c>
      <c r="AN8">
        <v>43</v>
      </c>
      <c r="AR8" s="103">
        <v>43.053570000000001</v>
      </c>
    </row>
    <row r="9" spans="1:44" ht="18.75" customHeight="1" x14ac:dyDescent="0.25">
      <c r="A9" s="3">
        <v>7</v>
      </c>
      <c r="B9" s="8" t="s">
        <v>11</v>
      </c>
      <c r="C9" s="70" t="s">
        <v>76</v>
      </c>
      <c r="D9" s="114"/>
      <c r="E9" s="6"/>
      <c r="F9" s="6"/>
      <c r="G9" s="6"/>
      <c r="H9" s="6"/>
      <c r="I9" s="6"/>
      <c r="J9" s="6"/>
      <c r="K9" s="6"/>
      <c r="L9" s="6"/>
      <c r="M9" s="6"/>
      <c r="N9" s="6"/>
      <c r="O9" s="6">
        <v>8</v>
      </c>
      <c r="P9" s="6">
        <v>8</v>
      </c>
      <c r="Q9" s="6">
        <v>8</v>
      </c>
      <c r="R9" s="6">
        <v>8</v>
      </c>
      <c r="S9" s="6"/>
      <c r="T9" s="6"/>
      <c r="U9" s="6">
        <v>8</v>
      </c>
      <c r="V9" s="6">
        <v>8</v>
      </c>
      <c r="W9" s="6">
        <v>8</v>
      </c>
      <c r="X9" s="6">
        <v>8</v>
      </c>
      <c r="Y9" s="6">
        <v>8</v>
      </c>
      <c r="Z9" s="6"/>
      <c r="AA9" s="6">
        <v>8</v>
      </c>
      <c r="AB9" s="6">
        <v>8</v>
      </c>
      <c r="AC9" s="6">
        <v>8</v>
      </c>
      <c r="AD9" s="6"/>
      <c r="AE9" s="6">
        <v>8</v>
      </c>
      <c r="AF9" s="6">
        <v>8</v>
      </c>
      <c r="AG9" s="6"/>
      <c r="AH9" s="6"/>
      <c r="AI9" s="9">
        <f t="shared" si="0"/>
        <v>112</v>
      </c>
      <c r="AJ9" s="134"/>
      <c r="AK9" s="135"/>
      <c r="AL9" s="99" t="s">
        <v>120</v>
      </c>
      <c r="AM9" s="100">
        <v>25965</v>
      </c>
      <c r="AN9">
        <v>43</v>
      </c>
      <c r="AR9" s="103">
        <v>43.053570000000001</v>
      </c>
    </row>
    <row r="10" spans="1:44" ht="18.75" customHeight="1" x14ac:dyDescent="0.25">
      <c r="A10" s="34">
        <v>8</v>
      </c>
      <c r="B10" s="8" t="s">
        <v>12</v>
      </c>
      <c r="C10" s="70" t="s">
        <v>80</v>
      </c>
      <c r="D10" s="114"/>
      <c r="E10" s="6">
        <v>8</v>
      </c>
      <c r="F10" s="6">
        <v>8</v>
      </c>
      <c r="G10" s="6">
        <v>8</v>
      </c>
      <c r="H10" s="6">
        <v>8</v>
      </c>
      <c r="I10" s="6">
        <v>8</v>
      </c>
      <c r="J10" s="6">
        <v>8</v>
      </c>
      <c r="K10" s="6">
        <v>8</v>
      </c>
      <c r="L10" s="6"/>
      <c r="M10" s="6">
        <v>8</v>
      </c>
      <c r="N10" s="6">
        <v>8</v>
      </c>
      <c r="O10" s="6">
        <v>8</v>
      </c>
      <c r="P10" s="6">
        <v>8</v>
      </c>
      <c r="Q10" s="6">
        <v>8</v>
      </c>
      <c r="R10" s="6">
        <v>8</v>
      </c>
      <c r="S10" s="6">
        <v>7.5</v>
      </c>
      <c r="T10" s="6"/>
      <c r="U10" s="6"/>
      <c r="V10" s="6"/>
      <c r="W10" s="6"/>
      <c r="X10" s="6"/>
      <c r="Y10" s="6"/>
      <c r="Z10" s="6"/>
      <c r="AA10" s="6">
        <v>8</v>
      </c>
      <c r="AB10" s="6">
        <v>8</v>
      </c>
      <c r="AC10" s="6">
        <v>8</v>
      </c>
      <c r="AD10" s="6">
        <v>8</v>
      </c>
      <c r="AE10" s="6">
        <v>8</v>
      </c>
      <c r="AF10" s="6">
        <v>8</v>
      </c>
      <c r="AG10" s="6"/>
      <c r="AH10" s="6">
        <v>8</v>
      </c>
      <c r="AI10" s="9">
        <f t="shared" si="0"/>
        <v>167.5</v>
      </c>
      <c r="AJ10" s="134"/>
      <c r="AK10" s="135"/>
      <c r="AR10" s="103">
        <f>SUM(AR3:AR9)</f>
        <v>301.37498999999997</v>
      </c>
    </row>
    <row r="11" spans="1:44" ht="18.75" customHeight="1" x14ac:dyDescent="0.25">
      <c r="A11" s="34">
        <v>9</v>
      </c>
      <c r="B11" s="11" t="s">
        <v>47</v>
      </c>
      <c r="C11" s="70" t="s">
        <v>74</v>
      </c>
      <c r="D11" s="114"/>
      <c r="E11" s="6">
        <v>8</v>
      </c>
      <c r="F11" s="6">
        <v>8</v>
      </c>
      <c r="G11" s="6">
        <v>8</v>
      </c>
      <c r="H11" s="6">
        <v>8</v>
      </c>
      <c r="I11" s="6">
        <v>8</v>
      </c>
      <c r="J11" s="6">
        <v>8</v>
      </c>
      <c r="K11" s="6">
        <v>8</v>
      </c>
      <c r="L11" s="6"/>
      <c r="M11" s="6">
        <v>8</v>
      </c>
      <c r="N11" s="6">
        <v>8</v>
      </c>
      <c r="O11" s="6">
        <v>8</v>
      </c>
      <c r="P11" s="6">
        <v>8</v>
      </c>
      <c r="Q11" s="6">
        <v>8</v>
      </c>
      <c r="R11" s="6">
        <v>8</v>
      </c>
      <c r="S11" s="6"/>
      <c r="T11" s="6">
        <v>8</v>
      </c>
      <c r="U11" s="6">
        <v>8</v>
      </c>
      <c r="V11" s="6">
        <v>8</v>
      </c>
      <c r="W11" s="6">
        <v>8</v>
      </c>
      <c r="X11" s="6">
        <v>8</v>
      </c>
      <c r="Y11" s="6">
        <v>8</v>
      </c>
      <c r="Z11" s="6">
        <v>8</v>
      </c>
      <c r="AA11" s="6">
        <v>8</v>
      </c>
      <c r="AB11" s="6">
        <v>8</v>
      </c>
      <c r="AC11" s="6"/>
      <c r="AD11" s="6">
        <v>8</v>
      </c>
      <c r="AE11" s="6">
        <v>8</v>
      </c>
      <c r="AF11" s="6">
        <v>8</v>
      </c>
      <c r="AG11" s="6"/>
      <c r="AH11" s="6">
        <v>8</v>
      </c>
      <c r="AI11" s="9">
        <f t="shared" si="0"/>
        <v>208</v>
      </c>
      <c r="AJ11" s="134"/>
      <c r="AK11" s="135"/>
    </row>
    <row r="12" spans="1:44" ht="18.75" customHeight="1" x14ac:dyDescent="0.25">
      <c r="A12" s="34">
        <v>10</v>
      </c>
      <c r="B12" s="8" t="s">
        <v>14</v>
      </c>
      <c r="C12" s="70" t="s">
        <v>77</v>
      </c>
      <c r="D12" s="114"/>
      <c r="E12" s="6"/>
      <c r="F12" s="6"/>
      <c r="G12" s="6"/>
      <c r="H12" s="6">
        <v>8</v>
      </c>
      <c r="I12" s="6">
        <v>8</v>
      </c>
      <c r="J12" s="6">
        <v>8</v>
      </c>
      <c r="K12" s="6">
        <v>8</v>
      </c>
      <c r="L12" s="6"/>
      <c r="M12" s="6"/>
      <c r="N12" s="6">
        <v>8</v>
      </c>
      <c r="O12" s="6">
        <v>8</v>
      </c>
      <c r="P12" s="6">
        <v>8</v>
      </c>
      <c r="Q12" s="6">
        <v>8</v>
      </c>
      <c r="R12" s="6">
        <v>8</v>
      </c>
      <c r="S12" s="6"/>
      <c r="T12" s="6">
        <v>8</v>
      </c>
      <c r="U12" s="6">
        <v>8</v>
      </c>
      <c r="V12" s="6">
        <v>8</v>
      </c>
      <c r="W12" s="6">
        <v>8</v>
      </c>
      <c r="X12" s="6">
        <v>8</v>
      </c>
      <c r="Y12" s="6">
        <v>8</v>
      </c>
      <c r="Z12" s="6"/>
      <c r="AA12" s="6">
        <v>8</v>
      </c>
      <c r="AB12" s="6">
        <v>8</v>
      </c>
      <c r="AC12" s="6">
        <v>8.5</v>
      </c>
      <c r="AD12" s="6">
        <v>8</v>
      </c>
      <c r="AE12" s="6">
        <v>8</v>
      </c>
      <c r="AF12" s="6"/>
      <c r="AG12" s="6"/>
      <c r="AH12" s="6"/>
      <c r="AI12" s="9">
        <f t="shared" si="0"/>
        <v>160.5</v>
      </c>
      <c r="AJ12" s="134"/>
      <c r="AK12" s="135"/>
    </row>
    <row r="13" spans="1:44" ht="18.75" customHeight="1" x14ac:dyDescent="0.25">
      <c r="A13" s="34">
        <v>11</v>
      </c>
      <c r="B13" s="12" t="s">
        <v>15</v>
      </c>
      <c r="C13" s="70" t="s">
        <v>71</v>
      </c>
      <c r="D13" s="114"/>
      <c r="E13" s="6"/>
      <c r="F13" s="6"/>
      <c r="G13" s="6"/>
      <c r="H13" s="6"/>
      <c r="I13" s="6"/>
      <c r="J13" s="6"/>
      <c r="K13" s="6"/>
      <c r="L13" s="6"/>
      <c r="M13" s="6"/>
      <c r="N13" s="6">
        <v>8</v>
      </c>
      <c r="O13" s="6">
        <v>8</v>
      </c>
      <c r="P13" s="6">
        <v>8</v>
      </c>
      <c r="Q13" s="6">
        <v>8</v>
      </c>
      <c r="R13" s="6">
        <v>8</v>
      </c>
      <c r="S13" s="6"/>
      <c r="T13" s="6">
        <v>8</v>
      </c>
      <c r="U13" s="6">
        <v>8</v>
      </c>
      <c r="V13" s="6">
        <v>8</v>
      </c>
      <c r="W13" s="6">
        <v>8</v>
      </c>
      <c r="X13" s="6">
        <v>8</v>
      </c>
      <c r="Y13" s="6">
        <v>8</v>
      </c>
      <c r="Z13" s="6"/>
      <c r="AA13" s="6">
        <v>8</v>
      </c>
      <c r="AB13" s="6">
        <v>8</v>
      </c>
      <c r="AC13" s="6">
        <v>8</v>
      </c>
      <c r="AD13" s="6">
        <v>8</v>
      </c>
      <c r="AE13" s="6">
        <v>8</v>
      </c>
      <c r="AF13" s="6">
        <v>8</v>
      </c>
      <c r="AG13" s="6"/>
      <c r="AH13" s="6"/>
      <c r="AI13" s="9">
        <f t="shared" si="0"/>
        <v>136</v>
      </c>
      <c r="AJ13" s="134"/>
      <c r="AK13" s="135"/>
    </row>
    <row r="14" spans="1:44" ht="18.75" customHeight="1" x14ac:dyDescent="0.25">
      <c r="A14" s="34">
        <v>12</v>
      </c>
      <c r="B14" s="12" t="s">
        <v>16</v>
      </c>
      <c r="C14" s="70" t="s">
        <v>73</v>
      </c>
      <c r="D14" s="114"/>
      <c r="E14" s="6"/>
      <c r="F14" s="6"/>
      <c r="G14" s="6"/>
      <c r="H14" s="6"/>
      <c r="I14" s="6"/>
      <c r="J14" s="6"/>
      <c r="K14" s="6"/>
      <c r="L14" s="6"/>
      <c r="M14" s="6"/>
      <c r="N14" s="6">
        <v>8</v>
      </c>
      <c r="O14" s="6">
        <v>8</v>
      </c>
      <c r="P14" s="6">
        <v>8</v>
      </c>
      <c r="Q14" s="6">
        <v>8</v>
      </c>
      <c r="R14" s="6">
        <v>8</v>
      </c>
      <c r="S14" s="6"/>
      <c r="T14" s="6">
        <v>8</v>
      </c>
      <c r="U14" s="6">
        <v>8</v>
      </c>
      <c r="V14" s="6">
        <v>8</v>
      </c>
      <c r="W14" s="6">
        <v>8</v>
      </c>
      <c r="X14" s="6">
        <v>8</v>
      </c>
      <c r="Y14" s="6">
        <v>8</v>
      </c>
      <c r="Z14" s="6"/>
      <c r="AA14" s="6">
        <v>8</v>
      </c>
      <c r="AB14" s="6">
        <v>8</v>
      </c>
      <c r="AC14" s="6">
        <v>8.5</v>
      </c>
      <c r="AD14" s="6">
        <v>8</v>
      </c>
      <c r="AE14" s="6">
        <v>8</v>
      </c>
      <c r="AF14" s="6">
        <v>8</v>
      </c>
      <c r="AG14" s="6"/>
      <c r="AH14" s="6"/>
      <c r="AI14" s="9">
        <f t="shared" si="0"/>
        <v>136.5</v>
      </c>
      <c r="AJ14" s="134"/>
      <c r="AK14" s="135"/>
    </row>
    <row r="15" spans="1:44" ht="18.75" customHeight="1" x14ac:dyDescent="0.25">
      <c r="A15" s="3">
        <v>13</v>
      </c>
      <c r="B15" s="12" t="s">
        <v>19</v>
      </c>
      <c r="C15" s="70" t="s">
        <v>70</v>
      </c>
      <c r="D15" s="11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8</v>
      </c>
      <c r="AB15" s="6">
        <v>8</v>
      </c>
      <c r="AC15" s="6"/>
      <c r="AD15" s="6"/>
      <c r="AE15" s="6"/>
      <c r="AF15" s="6"/>
      <c r="AG15" s="6"/>
      <c r="AH15" s="6"/>
      <c r="AI15" s="9">
        <f t="shared" si="0"/>
        <v>16</v>
      </c>
      <c r="AJ15" s="134"/>
      <c r="AK15" s="135"/>
    </row>
    <row r="16" spans="1:44" ht="18.75" customHeight="1" x14ac:dyDescent="0.25">
      <c r="A16" s="34">
        <v>14</v>
      </c>
      <c r="B16" s="51" t="s">
        <v>20</v>
      </c>
      <c r="C16" s="70" t="s">
        <v>68</v>
      </c>
      <c r="D16" s="136" t="s">
        <v>21</v>
      </c>
      <c r="E16" s="14"/>
      <c r="F16" s="14"/>
      <c r="G16" s="14"/>
      <c r="H16" s="14">
        <v>8</v>
      </c>
      <c r="I16" s="14">
        <v>8</v>
      </c>
      <c r="J16" s="14">
        <v>8</v>
      </c>
      <c r="K16" s="14">
        <v>8</v>
      </c>
      <c r="L16" s="14"/>
      <c r="M16" s="14">
        <v>8</v>
      </c>
      <c r="N16" s="14">
        <v>8</v>
      </c>
      <c r="O16" s="14">
        <v>8</v>
      </c>
      <c r="P16" s="14">
        <v>8</v>
      </c>
      <c r="Q16" s="14">
        <v>8</v>
      </c>
      <c r="R16" s="14"/>
      <c r="S16" s="14"/>
      <c r="T16" s="14">
        <v>8</v>
      </c>
      <c r="U16" s="14">
        <v>8</v>
      </c>
      <c r="V16" s="14">
        <v>8</v>
      </c>
      <c r="W16" s="14">
        <v>8</v>
      </c>
      <c r="X16" s="14">
        <v>8</v>
      </c>
      <c r="Y16" s="14">
        <v>8</v>
      </c>
      <c r="Z16" s="14"/>
      <c r="AA16" s="14">
        <v>8</v>
      </c>
      <c r="AB16" s="14">
        <v>8</v>
      </c>
      <c r="AC16" s="14">
        <v>8</v>
      </c>
      <c r="AD16" s="14">
        <v>8</v>
      </c>
      <c r="AE16" s="14">
        <v>8</v>
      </c>
      <c r="AF16" s="14">
        <v>8</v>
      </c>
      <c r="AG16" s="14"/>
      <c r="AH16" s="14"/>
      <c r="AI16" s="15">
        <f t="shared" si="0"/>
        <v>168</v>
      </c>
      <c r="AJ16" s="139">
        <f>SUM(AI16:AI21)</f>
        <v>867.5</v>
      </c>
      <c r="AK16" s="140">
        <f>AJ16/8</f>
        <v>108.4375</v>
      </c>
      <c r="AL16" s="99" t="s">
        <v>116</v>
      </c>
      <c r="AM16" s="102">
        <v>25121</v>
      </c>
      <c r="AN16">
        <v>27.437999999999999</v>
      </c>
      <c r="AR16">
        <f>AK16/4</f>
        <v>27.109375</v>
      </c>
    </row>
    <row r="17" spans="1:44" ht="18.75" customHeight="1" x14ac:dyDescent="0.25">
      <c r="A17" s="3">
        <v>15</v>
      </c>
      <c r="B17" s="35" t="s">
        <v>22</v>
      </c>
      <c r="C17" s="70" t="s">
        <v>64</v>
      </c>
      <c r="D17" s="137"/>
      <c r="E17" s="14"/>
      <c r="F17" s="14"/>
      <c r="G17" s="14">
        <v>8</v>
      </c>
      <c r="H17" s="14">
        <v>8</v>
      </c>
      <c r="I17" s="14">
        <v>8</v>
      </c>
      <c r="J17" s="14">
        <v>8</v>
      </c>
      <c r="K17" s="14">
        <v>8</v>
      </c>
      <c r="L17" s="14">
        <v>8</v>
      </c>
      <c r="M17" s="14">
        <v>8</v>
      </c>
      <c r="N17" s="14"/>
      <c r="O17" s="14">
        <v>8</v>
      </c>
      <c r="P17" s="14">
        <v>8</v>
      </c>
      <c r="Q17" s="14">
        <v>8</v>
      </c>
      <c r="R17" s="14">
        <v>8</v>
      </c>
      <c r="S17" s="14"/>
      <c r="T17" s="14">
        <v>8</v>
      </c>
      <c r="U17" s="14">
        <v>8</v>
      </c>
      <c r="V17" s="14">
        <v>8</v>
      </c>
      <c r="W17" s="14">
        <v>8</v>
      </c>
      <c r="X17" s="14">
        <v>8</v>
      </c>
      <c r="Y17" s="14">
        <v>8</v>
      </c>
      <c r="Z17" s="14">
        <v>8</v>
      </c>
      <c r="AA17" s="14">
        <v>8</v>
      </c>
      <c r="AB17" s="14"/>
      <c r="AC17" s="14">
        <v>8</v>
      </c>
      <c r="AD17" s="14">
        <v>8</v>
      </c>
      <c r="AE17" s="14">
        <v>8</v>
      </c>
      <c r="AF17" s="14">
        <v>8</v>
      </c>
      <c r="AG17" s="14"/>
      <c r="AH17" s="14"/>
      <c r="AI17" s="15">
        <f t="shared" si="0"/>
        <v>184</v>
      </c>
      <c r="AJ17" s="139"/>
      <c r="AK17" s="140"/>
      <c r="AL17" s="99" t="s">
        <v>117</v>
      </c>
      <c r="AM17" s="102">
        <v>25122</v>
      </c>
      <c r="AN17">
        <v>27</v>
      </c>
    </row>
    <row r="18" spans="1:44" ht="18.75" customHeight="1" x14ac:dyDescent="0.25">
      <c r="A18" s="3">
        <v>16</v>
      </c>
      <c r="B18" s="35" t="s">
        <v>23</v>
      </c>
      <c r="C18" s="70" t="s">
        <v>67</v>
      </c>
      <c r="D18" s="137"/>
      <c r="E18" s="14">
        <v>8</v>
      </c>
      <c r="F18" s="14">
        <v>8</v>
      </c>
      <c r="G18" s="14">
        <v>8</v>
      </c>
      <c r="H18" s="14">
        <v>8</v>
      </c>
      <c r="I18" s="14">
        <v>8</v>
      </c>
      <c r="J18" s="14"/>
      <c r="K18" s="14">
        <v>11</v>
      </c>
      <c r="L18" s="14">
        <v>8</v>
      </c>
      <c r="M18" s="14">
        <v>8</v>
      </c>
      <c r="N18" s="14">
        <v>8</v>
      </c>
      <c r="O18" s="14">
        <v>8</v>
      </c>
      <c r="P18" s="14">
        <v>8</v>
      </c>
      <c r="Q18" s="14"/>
      <c r="R18" s="14">
        <v>8</v>
      </c>
      <c r="S18" s="14">
        <v>8</v>
      </c>
      <c r="T18" s="14">
        <v>8</v>
      </c>
      <c r="U18" s="14">
        <v>8</v>
      </c>
      <c r="V18" s="14">
        <v>8</v>
      </c>
      <c r="W18" s="14">
        <v>8</v>
      </c>
      <c r="X18" s="14">
        <v>8</v>
      </c>
      <c r="Y18" s="14"/>
      <c r="Z18" s="14"/>
      <c r="AA18" s="14">
        <v>8</v>
      </c>
      <c r="AB18" s="14">
        <v>8</v>
      </c>
      <c r="AC18" s="14">
        <v>8</v>
      </c>
      <c r="AD18" s="14">
        <v>8</v>
      </c>
      <c r="AE18" s="14">
        <v>8</v>
      </c>
      <c r="AF18" s="14"/>
      <c r="AG18" s="14"/>
      <c r="AH18" s="14">
        <v>8</v>
      </c>
      <c r="AI18" s="15">
        <f t="shared" si="0"/>
        <v>195</v>
      </c>
      <c r="AJ18" s="139"/>
      <c r="AK18" s="140"/>
      <c r="AL18" s="99" t="s">
        <v>118</v>
      </c>
      <c r="AM18" s="102">
        <v>25123</v>
      </c>
      <c r="AN18">
        <v>27</v>
      </c>
    </row>
    <row r="19" spans="1:44" ht="18.75" customHeight="1" x14ac:dyDescent="0.25">
      <c r="A19" s="34">
        <v>17</v>
      </c>
      <c r="B19" s="35" t="s">
        <v>24</v>
      </c>
      <c r="C19" s="70" t="s">
        <v>66</v>
      </c>
      <c r="D19" s="137"/>
      <c r="E19" s="14">
        <v>8.5</v>
      </c>
      <c r="F19" s="14">
        <v>7.5</v>
      </c>
      <c r="G19" s="14">
        <v>8</v>
      </c>
      <c r="H19" s="14">
        <v>8</v>
      </c>
      <c r="I19" s="14">
        <v>8</v>
      </c>
      <c r="J19" s="14">
        <v>8</v>
      </c>
      <c r="K19" s="14">
        <v>8</v>
      </c>
      <c r="L19" s="14"/>
      <c r="M19" s="14"/>
      <c r="N19" s="14">
        <v>8</v>
      </c>
      <c r="O19" s="14">
        <v>8</v>
      </c>
      <c r="P19" s="14">
        <v>8</v>
      </c>
      <c r="Q19" s="14">
        <v>8</v>
      </c>
      <c r="R19" s="14">
        <v>8</v>
      </c>
      <c r="S19" s="14"/>
      <c r="T19" s="14">
        <v>8</v>
      </c>
      <c r="U19" s="14">
        <v>8</v>
      </c>
      <c r="V19" s="14">
        <v>8</v>
      </c>
      <c r="W19" s="14">
        <v>8</v>
      </c>
      <c r="X19" s="14"/>
      <c r="Y19" s="14"/>
      <c r="Z19" s="14"/>
      <c r="AA19" s="14">
        <v>8</v>
      </c>
      <c r="AB19" s="14">
        <v>8</v>
      </c>
      <c r="AC19" s="14"/>
      <c r="AD19" s="14"/>
      <c r="AE19" s="14">
        <v>8</v>
      </c>
      <c r="AF19" s="14">
        <v>8</v>
      </c>
      <c r="AG19" s="14"/>
      <c r="AH19" s="14">
        <v>8</v>
      </c>
      <c r="AI19" s="15">
        <f t="shared" si="0"/>
        <v>168</v>
      </c>
      <c r="AJ19" s="139"/>
      <c r="AK19" s="140"/>
      <c r="AL19" s="99" t="s">
        <v>119</v>
      </c>
      <c r="AM19" s="102">
        <v>25124</v>
      </c>
      <c r="AN19">
        <v>27</v>
      </c>
    </row>
    <row r="20" spans="1:44" ht="18.75" customHeight="1" x14ac:dyDescent="0.25">
      <c r="A20" s="34">
        <v>18</v>
      </c>
      <c r="B20" s="52" t="s">
        <v>27</v>
      </c>
      <c r="C20" s="70" t="s">
        <v>65</v>
      </c>
      <c r="D20" s="137"/>
      <c r="E20" s="14"/>
      <c r="F20" s="14"/>
      <c r="G20" s="14">
        <v>8.5</v>
      </c>
      <c r="H20" s="14">
        <v>8</v>
      </c>
      <c r="I20" s="14">
        <v>8</v>
      </c>
      <c r="J20" s="14">
        <v>8</v>
      </c>
      <c r="K20" s="14">
        <v>8</v>
      </c>
      <c r="L20" s="14"/>
      <c r="M20" s="14">
        <v>8</v>
      </c>
      <c r="N20" s="14"/>
      <c r="O20" s="14"/>
      <c r="P20" s="14"/>
      <c r="Q20" s="14"/>
      <c r="R20" s="14">
        <v>8</v>
      </c>
      <c r="S20" s="14"/>
      <c r="T20" s="14">
        <v>8</v>
      </c>
      <c r="U20" s="14">
        <v>8</v>
      </c>
      <c r="V20" s="14">
        <v>8</v>
      </c>
      <c r="W20" s="14">
        <v>8</v>
      </c>
      <c r="X20" s="14">
        <v>8</v>
      </c>
      <c r="Y20" s="14">
        <v>8</v>
      </c>
      <c r="Z20" s="14"/>
      <c r="AA20" s="14">
        <v>8</v>
      </c>
      <c r="AB20" s="14">
        <v>8</v>
      </c>
      <c r="AC20" s="14">
        <v>8</v>
      </c>
      <c r="AD20" s="14"/>
      <c r="AE20" s="14">
        <v>8</v>
      </c>
      <c r="AF20" s="14">
        <v>8</v>
      </c>
      <c r="AG20" s="14"/>
      <c r="AH20" s="14"/>
      <c r="AI20" s="18">
        <f t="shared" si="0"/>
        <v>144.5</v>
      </c>
      <c r="AJ20" s="139"/>
      <c r="AK20" s="140"/>
    </row>
    <row r="21" spans="1:44" ht="18.75" customHeight="1" x14ac:dyDescent="0.25">
      <c r="A21" s="3">
        <v>19</v>
      </c>
      <c r="B21" s="64" t="s">
        <v>28</v>
      </c>
      <c r="C21" s="78" t="s">
        <v>85</v>
      </c>
      <c r="D21" s="138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>
        <v>8</v>
      </c>
      <c r="AG21" s="14"/>
      <c r="AH21" s="14"/>
      <c r="AI21" s="18">
        <f t="shared" si="0"/>
        <v>8</v>
      </c>
      <c r="AJ21" s="139"/>
      <c r="AK21" s="140"/>
    </row>
    <row r="22" spans="1:44" ht="18.75" customHeight="1" x14ac:dyDescent="0.25">
      <c r="A22" s="34">
        <v>20</v>
      </c>
      <c r="B22" s="36" t="s">
        <v>17</v>
      </c>
      <c r="C22" s="71" t="s">
        <v>63</v>
      </c>
      <c r="D22" s="123" t="s">
        <v>30</v>
      </c>
      <c r="E22" s="43"/>
      <c r="F22" s="43"/>
      <c r="G22" s="43">
        <v>8</v>
      </c>
      <c r="H22" s="43">
        <v>8</v>
      </c>
      <c r="I22" s="43"/>
      <c r="J22" s="43">
        <v>8</v>
      </c>
      <c r="K22" s="43">
        <v>8</v>
      </c>
      <c r="L22" s="43"/>
      <c r="M22" s="43">
        <v>8</v>
      </c>
      <c r="N22" s="43">
        <v>8</v>
      </c>
      <c r="O22" s="43">
        <v>8</v>
      </c>
      <c r="P22" s="43">
        <v>8</v>
      </c>
      <c r="Q22" s="43">
        <v>8</v>
      </c>
      <c r="R22" s="43">
        <v>8</v>
      </c>
      <c r="S22" s="43"/>
      <c r="T22" s="43">
        <v>8</v>
      </c>
      <c r="U22" s="43">
        <v>8</v>
      </c>
      <c r="V22" s="43"/>
      <c r="W22" s="43">
        <v>8</v>
      </c>
      <c r="X22" s="43">
        <v>8</v>
      </c>
      <c r="Y22" s="43">
        <v>8</v>
      </c>
      <c r="Z22" s="43"/>
      <c r="AA22" s="43">
        <v>8</v>
      </c>
      <c r="AB22" s="43">
        <v>8</v>
      </c>
      <c r="AC22" s="43">
        <v>8.5</v>
      </c>
      <c r="AD22" s="43">
        <v>8</v>
      </c>
      <c r="AE22" s="43">
        <v>8</v>
      </c>
      <c r="AF22" s="43">
        <v>8</v>
      </c>
      <c r="AG22" s="43"/>
      <c r="AH22" s="43"/>
      <c r="AI22" s="44">
        <f>SUM(E22:AH22)</f>
        <v>168.5</v>
      </c>
      <c r="AJ22" s="126">
        <f>SUM(AI22:AI36)</f>
        <v>2596.5299999999997</v>
      </c>
      <c r="AK22" s="129">
        <f>AJ22/8</f>
        <v>324.56624999999997</v>
      </c>
      <c r="AL22" s="99" t="s">
        <v>121</v>
      </c>
      <c r="AM22" s="100">
        <v>25620</v>
      </c>
      <c r="AN22">
        <v>54</v>
      </c>
      <c r="AR22">
        <f>AK22/6</f>
        <v>54.094374999999992</v>
      </c>
    </row>
    <row r="23" spans="1:44" ht="18.75" customHeight="1" x14ac:dyDescent="0.25">
      <c r="A23" s="34">
        <v>21</v>
      </c>
      <c r="B23" s="36" t="s">
        <v>18</v>
      </c>
      <c r="C23" s="71" t="s">
        <v>60</v>
      </c>
      <c r="D23" s="124"/>
      <c r="E23" s="43"/>
      <c r="F23" s="43"/>
      <c r="G23" s="43"/>
      <c r="H23" s="43">
        <v>8</v>
      </c>
      <c r="I23" s="43">
        <v>8</v>
      </c>
      <c r="J23" s="43">
        <v>8</v>
      </c>
      <c r="K23" s="43">
        <v>8</v>
      </c>
      <c r="L23" s="43"/>
      <c r="M23" s="43">
        <v>8</v>
      </c>
      <c r="N23" s="43">
        <v>8</v>
      </c>
      <c r="O23" s="43">
        <v>8</v>
      </c>
      <c r="P23" s="43">
        <v>8</v>
      </c>
      <c r="Q23" s="43">
        <v>8</v>
      </c>
      <c r="R23" s="43">
        <v>8</v>
      </c>
      <c r="S23" s="43"/>
      <c r="T23" s="43">
        <v>8</v>
      </c>
      <c r="U23" s="43"/>
      <c r="V23" s="43"/>
      <c r="W23" s="43">
        <v>8</v>
      </c>
      <c r="X23" s="43">
        <v>8</v>
      </c>
      <c r="Y23" s="43">
        <v>8</v>
      </c>
      <c r="Z23" s="43"/>
      <c r="AA23" s="43">
        <v>8</v>
      </c>
      <c r="AB23" s="43">
        <v>8</v>
      </c>
      <c r="AC23" s="43">
        <v>8</v>
      </c>
      <c r="AD23" s="43">
        <v>8</v>
      </c>
      <c r="AE23" s="43"/>
      <c r="AF23" s="43">
        <v>8</v>
      </c>
      <c r="AG23" s="43"/>
      <c r="AH23" s="43"/>
      <c r="AI23" s="44">
        <f>SUM(E23:AH23)</f>
        <v>152</v>
      </c>
      <c r="AJ23" s="127"/>
      <c r="AK23" s="130"/>
      <c r="AL23" s="99" t="s">
        <v>122</v>
      </c>
      <c r="AM23" s="100">
        <v>25728</v>
      </c>
      <c r="AN23">
        <v>54.566000000000003</v>
      </c>
    </row>
    <row r="24" spans="1:44" ht="18.75" customHeight="1" x14ac:dyDescent="0.25">
      <c r="A24" s="34">
        <v>22</v>
      </c>
      <c r="B24" s="37" t="s">
        <v>26</v>
      </c>
      <c r="C24" s="71" t="s">
        <v>59</v>
      </c>
      <c r="D24" s="124"/>
      <c r="E24" s="45"/>
      <c r="F24" s="45"/>
      <c r="G24" s="45">
        <v>8</v>
      </c>
      <c r="H24" s="45">
        <v>8</v>
      </c>
      <c r="I24" s="45">
        <v>8</v>
      </c>
      <c r="J24" s="45">
        <v>8</v>
      </c>
      <c r="K24" s="45">
        <v>8</v>
      </c>
      <c r="L24" s="45">
        <v>8</v>
      </c>
      <c r="M24" s="45">
        <v>8</v>
      </c>
      <c r="N24" s="45">
        <v>8</v>
      </c>
      <c r="O24" s="45"/>
      <c r="P24" s="45">
        <v>8</v>
      </c>
      <c r="Q24" s="45">
        <v>8</v>
      </c>
      <c r="R24" s="45">
        <v>8</v>
      </c>
      <c r="S24" s="45">
        <v>8</v>
      </c>
      <c r="T24" s="45">
        <v>8</v>
      </c>
      <c r="U24" s="45">
        <v>8</v>
      </c>
      <c r="V24" s="45">
        <v>8</v>
      </c>
      <c r="W24" s="45">
        <v>8</v>
      </c>
      <c r="X24" s="45">
        <v>8</v>
      </c>
      <c r="Y24" s="45"/>
      <c r="Z24" s="45">
        <v>8</v>
      </c>
      <c r="AA24" s="45">
        <v>7.5</v>
      </c>
      <c r="AB24" s="45">
        <v>8</v>
      </c>
      <c r="AC24" s="45">
        <v>8</v>
      </c>
      <c r="AD24" s="45">
        <v>8</v>
      </c>
      <c r="AE24" s="45">
        <v>8</v>
      </c>
      <c r="AF24" s="45">
        <v>8</v>
      </c>
      <c r="AG24" s="45"/>
      <c r="AH24" s="45"/>
      <c r="AI24" s="44">
        <f>SUM(E24:AH24)</f>
        <v>191.5</v>
      </c>
      <c r="AJ24" s="127"/>
      <c r="AK24" s="130"/>
      <c r="AL24" s="99" t="s">
        <v>123</v>
      </c>
      <c r="AM24" s="102">
        <v>25969</v>
      </c>
      <c r="AN24">
        <v>54</v>
      </c>
    </row>
    <row r="25" spans="1:44" ht="18.75" customHeight="1" x14ac:dyDescent="0.25">
      <c r="A25" s="34">
        <v>23</v>
      </c>
      <c r="B25" s="38" t="s">
        <v>29</v>
      </c>
      <c r="C25" s="71" t="s">
        <v>56</v>
      </c>
      <c r="D25" s="124"/>
      <c r="E25" s="46">
        <v>8</v>
      </c>
      <c r="F25" s="46">
        <v>8</v>
      </c>
      <c r="G25" s="46">
        <v>8</v>
      </c>
      <c r="H25" s="46">
        <v>8</v>
      </c>
      <c r="I25" s="46">
        <v>8</v>
      </c>
      <c r="J25" s="46"/>
      <c r="K25" s="46">
        <v>8</v>
      </c>
      <c r="L25" s="46">
        <v>8</v>
      </c>
      <c r="M25" s="46">
        <v>8</v>
      </c>
      <c r="N25" s="46">
        <v>8</v>
      </c>
      <c r="O25" s="46">
        <v>8</v>
      </c>
      <c r="P25" s="46">
        <v>8</v>
      </c>
      <c r="Q25" s="46"/>
      <c r="R25" s="46">
        <v>8</v>
      </c>
      <c r="S25" s="46">
        <v>8</v>
      </c>
      <c r="T25" s="46">
        <v>8</v>
      </c>
      <c r="U25" s="46">
        <v>8</v>
      </c>
      <c r="V25" s="46">
        <v>8</v>
      </c>
      <c r="W25" s="46"/>
      <c r="X25" s="46">
        <v>8</v>
      </c>
      <c r="Y25" s="46">
        <v>8</v>
      </c>
      <c r="Z25" s="46">
        <v>8</v>
      </c>
      <c r="AA25" s="46">
        <v>9.5</v>
      </c>
      <c r="AB25" s="46">
        <v>10</v>
      </c>
      <c r="AC25" s="46">
        <v>8</v>
      </c>
      <c r="AD25" s="46">
        <v>8</v>
      </c>
      <c r="AE25" s="46"/>
      <c r="AF25" s="46">
        <v>8</v>
      </c>
      <c r="AG25" s="46"/>
      <c r="AH25" s="46">
        <v>8</v>
      </c>
      <c r="AI25" s="44">
        <f t="shared" si="0"/>
        <v>203.5</v>
      </c>
      <c r="AJ25" s="127"/>
      <c r="AK25" s="130"/>
      <c r="AL25" s="99" t="s">
        <v>124</v>
      </c>
      <c r="AM25" s="100">
        <v>25421</v>
      </c>
      <c r="AN25">
        <v>54</v>
      </c>
    </row>
    <row r="26" spans="1:44" ht="18.75" customHeight="1" x14ac:dyDescent="0.25">
      <c r="A26" s="34">
        <v>24</v>
      </c>
      <c r="B26" s="39" t="s">
        <v>31</v>
      </c>
      <c r="C26" s="71" t="s">
        <v>58</v>
      </c>
      <c r="D26" s="124"/>
      <c r="E26" s="46"/>
      <c r="F26" s="46"/>
      <c r="G26" s="46"/>
      <c r="H26" s="46"/>
      <c r="I26" s="46"/>
      <c r="J26" s="46"/>
      <c r="K26" s="46"/>
      <c r="L26" s="46"/>
      <c r="M26" s="46">
        <v>8</v>
      </c>
      <c r="N26" s="46">
        <v>8</v>
      </c>
      <c r="O26" s="46">
        <v>8</v>
      </c>
      <c r="P26" s="46">
        <v>8</v>
      </c>
      <c r="Q26" s="46">
        <v>8</v>
      </c>
      <c r="R26" s="46"/>
      <c r="S26" s="46">
        <v>8</v>
      </c>
      <c r="T26" s="46">
        <v>8</v>
      </c>
      <c r="U26" s="46">
        <v>8</v>
      </c>
      <c r="V26" s="46">
        <v>8</v>
      </c>
      <c r="W26" s="46">
        <v>8</v>
      </c>
      <c r="X26" s="46">
        <v>8</v>
      </c>
      <c r="Y26" s="46"/>
      <c r="Z26" s="46">
        <v>8</v>
      </c>
      <c r="AA26" s="46">
        <v>8</v>
      </c>
      <c r="AB26" s="46">
        <v>8</v>
      </c>
      <c r="AC26" s="46">
        <v>8</v>
      </c>
      <c r="AD26" s="46"/>
      <c r="AE26" s="46">
        <v>8</v>
      </c>
      <c r="AF26" s="46">
        <v>8</v>
      </c>
      <c r="AG26" s="46"/>
      <c r="AH26" s="46"/>
      <c r="AI26" s="44">
        <f>SUM(E26:AH26)</f>
        <v>136</v>
      </c>
      <c r="AJ26" s="127"/>
      <c r="AK26" s="130"/>
      <c r="AL26" s="99" t="s">
        <v>125</v>
      </c>
      <c r="AM26" s="100">
        <v>25522</v>
      </c>
      <c r="AN26">
        <v>54</v>
      </c>
    </row>
    <row r="27" spans="1:44" ht="18.75" customHeight="1" x14ac:dyDescent="0.25">
      <c r="A27" s="34">
        <v>25</v>
      </c>
      <c r="B27" s="40" t="s">
        <v>32</v>
      </c>
      <c r="C27" s="71" t="s">
        <v>51</v>
      </c>
      <c r="D27" s="124"/>
      <c r="E27" s="46">
        <v>7.53</v>
      </c>
      <c r="F27" s="46">
        <v>8</v>
      </c>
      <c r="G27" s="46">
        <v>8</v>
      </c>
      <c r="H27" s="46">
        <v>8</v>
      </c>
      <c r="I27" s="46">
        <v>8</v>
      </c>
      <c r="J27" s="46">
        <v>8</v>
      </c>
      <c r="K27" s="46">
        <v>8</v>
      </c>
      <c r="L27" s="46">
        <v>8</v>
      </c>
      <c r="M27" s="46"/>
      <c r="N27" s="46">
        <v>8</v>
      </c>
      <c r="O27" s="46">
        <v>8</v>
      </c>
      <c r="P27" s="46">
        <v>8</v>
      </c>
      <c r="Q27" s="46">
        <v>8</v>
      </c>
      <c r="R27" s="46">
        <v>8</v>
      </c>
      <c r="S27" s="46">
        <v>8</v>
      </c>
      <c r="T27" s="46"/>
      <c r="U27" s="46">
        <v>5.5</v>
      </c>
      <c r="V27" s="46">
        <v>8</v>
      </c>
      <c r="W27" s="46"/>
      <c r="X27" s="46">
        <v>8</v>
      </c>
      <c r="Y27" s="46">
        <v>8</v>
      </c>
      <c r="Z27" s="46">
        <v>8</v>
      </c>
      <c r="AA27" s="46"/>
      <c r="AB27" s="46">
        <v>8</v>
      </c>
      <c r="AC27" s="46">
        <v>8</v>
      </c>
      <c r="AD27" s="46">
        <v>8</v>
      </c>
      <c r="AE27" s="46"/>
      <c r="AF27" s="46">
        <v>8</v>
      </c>
      <c r="AG27" s="46"/>
      <c r="AH27" s="46"/>
      <c r="AI27" s="44">
        <f t="shared" si="0"/>
        <v>181.03</v>
      </c>
      <c r="AJ27" s="127"/>
      <c r="AK27" s="130"/>
      <c r="AL27" s="99" t="s">
        <v>126</v>
      </c>
      <c r="AM27" s="100">
        <v>25966</v>
      </c>
      <c r="AN27">
        <v>54</v>
      </c>
    </row>
    <row r="28" spans="1:44" ht="18.75" customHeight="1" x14ac:dyDescent="0.25">
      <c r="A28" s="34">
        <v>26</v>
      </c>
      <c r="B28" s="40" t="s">
        <v>36</v>
      </c>
      <c r="C28" s="71" t="s">
        <v>62</v>
      </c>
      <c r="D28" s="124"/>
      <c r="E28" s="46"/>
      <c r="F28" s="46"/>
      <c r="G28" s="46">
        <v>8</v>
      </c>
      <c r="H28" s="46">
        <v>8</v>
      </c>
      <c r="I28" s="46">
        <v>7.5</v>
      </c>
      <c r="J28" s="46">
        <v>8</v>
      </c>
      <c r="K28" s="46">
        <v>8</v>
      </c>
      <c r="L28" s="46">
        <v>8</v>
      </c>
      <c r="M28" s="46">
        <v>8</v>
      </c>
      <c r="N28" s="46"/>
      <c r="O28" s="46">
        <v>8</v>
      </c>
      <c r="P28" s="46">
        <v>8</v>
      </c>
      <c r="Q28" s="46">
        <v>8</v>
      </c>
      <c r="R28" s="46">
        <v>8</v>
      </c>
      <c r="S28" s="46"/>
      <c r="T28" s="46">
        <v>8</v>
      </c>
      <c r="U28" s="46">
        <v>8</v>
      </c>
      <c r="V28" s="46">
        <v>8</v>
      </c>
      <c r="W28" s="46">
        <v>8</v>
      </c>
      <c r="X28" s="46">
        <v>8</v>
      </c>
      <c r="Y28" s="46">
        <v>8</v>
      </c>
      <c r="Z28" s="46"/>
      <c r="AA28" s="46">
        <v>8</v>
      </c>
      <c r="AB28" s="46">
        <v>10</v>
      </c>
      <c r="AC28" s="46"/>
      <c r="AD28" s="46">
        <v>8</v>
      </c>
      <c r="AE28" s="46">
        <v>8</v>
      </c>
      <c r="AF28" s="46">
        <v>8</v>
      </c>
      <c r="AG28" s="46"/>
      <c r="AH28" s="46"/>
      <c r="AI28" s="44">
        <f t="shared" si="0"/>
        <v>177.5</v>
      </c>
      <c r="AJ28" s="127"/>
      <c r="AK28" s="130"/>
    </row>
    <row r="29" spans="1:44" ht="18.75" customHeight="1" x14ac:dyDescent="0.25">
      <c r="A29" s="34">
        <v>27</v>
      </c>
      <c r="B29" s="41" t="s">
        <v>37</v>
      </c>
      <c r="C29" s="71" t="s">
        <v>55</v>
      </c>
      <c r="D29" s="124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>
        <v>8</v>
      </c>
      <c r="Q29" s="46"/>
      <c r="R29" s="46">
        <v>8</v>
      </c>
      <c r="S29" s="46">
        <v>8</v>
      </c>
      <c r="T29" s="46">
        <v>8</v>
      </c>
      <c r="U29" s="46">
        <v>8</v>
      </c>
      <c r="V29" s="46">
        <v>8</v>
      </c>
      <c r="W29" s="46">
        <v>8</v>
      </c>
      <c r="X29" s="46">
        <v>8</v>
      </c>
      <c r="Y29" s="46">
        <v>8</v>
      </c>
      <c r="Z29" s="46"/>
      <c r="AA29" s="46">
        <v>9.5</v>
      </c>
      <c r="AB29" s="46">
        <v>10</v>
      </c>
      <c r="AC29" s="46"/>
      <c r="AD29" s="46">
        <v>8</v>
      </c>
      <c r="AE29" s="46">
        <v>8</v>
      </c>
      <c r="AF29" s="46">
        <v>8</v>
      </c>
      <c r="AG29" s="46"/>
      <c r="AH29" s="46"/>
      <c r="AI29" s="44">
        <f t="shared" si="0"/>
        <v>115.5</v>
      </c>
      <c r="AJ29" s="127"/>
      <c r="AK29" s="130"/>
    </row>
    <row r="30" spans="1:44" ht="18.75" customHeight="1" x14ac:dyDescent="0.25">
      <c r="A30" s="34">
        <v>28</v>
      </c>
      <c r="B30" s="41" t="s">
        <v>38</v>
      </c>
      <c r="C30" s="71" t="s">
        <v>52</v>
      </c>
      <c r="D30" s="124"/>
      <c r="E30" s="47"/>
      <c r="F30" s="47"/>
      <c r="G30" s="47">
        <v>7.5</v>
      </c>
      <c r="H30" s="47">
        <v>8</v>
      </c>
      <c r="I30" s="47">
        <v>8</v>
      </c>
      <c r="J30" s="47">
        <v>8</v>
      </c>
      <c r="K30" s="47"/>
      <c r="L30" s="47"/>
      <c r="M30" s="47">
        <v>8</v>
      </c>
      <c r="N30" s="47">
        <v>8</v>
      </c>
      <c r="O30" s="47">
        <v>8</v>
      </c>
      <c r="P30" s="47">
        <v>8</v>
      </c>
      <c r="Q30" s="47">
        <v>8</v>
      </c>
      <c r="R30" s="47">
        <v>8</v>
      </c>
      <c r="S30" s="47"/>
      <c r="T30" s="47">
        <v>8</v>
      </c>
      <c r="U30" s="47">
        <v>8</v>
      </c>
      <c r="V30" s="47">
        <v>8</v>
      </c>
      <c r="W30" s="47">
        <v>8</v>
      </c>
      <c r="X30" s="47">
        <v>8</v>
      </c>
      <c r="Y30" s="47">
        <v>8</v>
      </c>
      <c r="Z30" s="47"/>
      <c r="AA30" s="47">
        <v>8</v>
      </c>
      <c r="AB30" s="47">
        <v>8</v>
      </c>
      <c r="AC30" s="47">
        <v>8</v>
      </c>
      <c r="AD30" s="47">
        <v>8</v>
      </c>
      <c r="AE30" s="47">
        <v>8</v>
      </c>
      <c r="AF30" s="47">
        <v>8</v>
      </c>
      <c r="AG30" s="47"/>
      <c r="AH30" s="47"/>
      <c r="AI30" s="44">
        <f t="shared" si="0"/>
        <v>175.5</v>
      </c>
      <c r="AJ30" s="127"/>
      <c r="AK30" s="130"/>
    </row>
    <row r="31" spans="1:44" ht="18.75" customHeight="1" x14ac:dyDescent="0.25">
      <c r="A31" s="34">
        <v>29</v>
      </c>
      <c r="B31" s="42" t="s">
        <v>39</v>
      </c>
      <c r="C31" s="71" t="s">
        <v>53</v>
      </c>
      <c r="D31" s="124"/>
      <c r="E31" s="48"/>
      <c r="F31" s="49"/>
      <c r="G31" s="49"/>
      <c r="H31" s="50">
        <v>8</v>
      </c>
      <c r="I31" s="50">
        <v>8</v>
      </c>
      <c r="J31" s="50">
        <v>8</v>
      </c>
      <c r="K31" s="50">
        <v>8</v>
      </c>
      <c r="L31" s="49"/>
      <c r="M31" s="50">
        <v>8</v>
      </c>
      <c r="N31" s="50">
        <v>8</v>
      </c>
      <c r="O31" s="50">
        <v>8</v>
      </c>
      <c r="P31" s="50">
        <v>8</v>
      </c>
      <c r="Q31" s="50">
        <v>8</v>
      </c>
      <c r="R31" s="50">
        <v>8</v>
      </c>
      <c r="S31" s="50"/>
      <c r="T31" s="50">
        <v>8</v>
      </c>
      <c r="U31" s="50">
        <v>8</v>
      </c>
      <c r="V31" s="50">
        <v>8</v>
      </c>
      <c r="W31" s="50">
        <v>8</v>
      </c>
      <c r="X31" s="50">
        <v>8</v>
      </c>
      <c r="Y31" s="50">
        <v>8</v>
      </c>
      <c r="Z31" s="50"/>
      <c r="AA31" s="50">
        <v>8</v>
      </c>
      <c r="AB31" s="50">
        <v>10</v>
      </c>
      <c r="AC31" s="50">
        <v>8</v>
      </c>
      <c r="AD31" s="50">
        <v>8</v>
      </c>
      <c r="AE31" s="50">
        <v>8</v>
      </c>
      <c r="AF31" s="50">
        <v>8</v>
      </c>
      <c r="AG31" s="50"/>
      <c r="AH31" s="50"/>
      <c r="AI31" s="44">
        <f t="shared" si="0"/>
        <v>178</v>
      </c>
      <c r="AJ31" s="127"/>
      <c r="AK31" s="130"/>
    </row>
    <row r="32" spans="1:44" ht="18.75" customHeight="1" x14ac:dyDescent="0.25">
      <c r="A32" s="34">
        <v>30</v>
      </c>
      <c r="B32" s="42" t="s">
        <v>46</v>
      </c>
      <c r="C32" s="71" t="s">
        <v>57</v>
      </c>
      <c r="D32" s="124"/>
      <c r="E32" s="48"/>
      <c r="F32" s="49"/>
      <c r="G32" s="50">
        <v>8</v>
      </c>
      <c r="H32" s="50">
        <v>8</v>
      </c>
      <c r="I32" s="50">
        <v>8</v>
      </c>
      <c r="J32" s="50">
        <v>8</v>
      </c>
      <c r="K32" s="50">
        <v>8</v>
      </c>
      <c r="L32" s="49"/>
      <c r="M32" s="50">
        <v>8</v>
      </c>
      <c r="N32" s="50">
        <v>8</v>
      </c>
      <c r="O32" s="50">
        <v>8</v>
      </c>
      <c r="P32" s="50">
        <v>8</v>
      </c>
      <c r="Q32" s="50">
        <v>8</v>
      </c>
      <c r="R32" s="50">
        <v>8</v>
      </c>
      <c r="S32" s="50"/>
      <c r="T32" s="50">
        <v>8</v>
      </c>
      <c r="U32" s="50">
        <v>8</v>
      </c>
      <c r="V32" s="50">
        <v>8</v>
      </c>
      <c r="W32" s="50">
        <v>8</v>
      </c>
      <c r="X32" s="50">
        <v>8</v>
      </c>
      <c r="Y32" s="50">
        <v>8</v>
      </c>
      <c r="Z32" s="50"/>
      <c r="AA32" s="50">
        <v>8</v>
      </c>
      <c r="AB32" s="50">
        <v>8</v>
      </c>
      <c r="AC32" s="50">
        <v>8</v>
      </c>
      <c r="AD32" s="50">
        <v>8</v>
      </c>
      <c r="AE32" s="50">
        <v>8</v>
      </c>
      <c r="AF32" s="50">
        <v>8</v>
      </c>
      <c r="AG32" s="50"/>
      <c r="AH32" s="50"/>
      <c r="AI32" s="44">
        <f>SUM(E32:AH32)</f>
        <v>184</v>
      </c>
      <c r="AJ32" s="127"/>
      <c r="AK32" s="130"/>
    </row>
    <row r="33" spans="1:37" ht="18.75" customHeight="1" x14ac:dyDescent="0.25">
      <c r="A33" s="34">
        <v>31</v>
      </c>
      <c r="B33" s="40" t="s">
        <v>33</v>
      </c>
      <c r="C33" s="71" t="s">
        <v>54</v>
      </c>
      <c r="D33" s="124"/>
      <c r="E33" s="46"/>
      <c r="F33" s="46"/>
      <c r="G33" s="46"/>
      <c r="H33" s="46"/>
      <c r="I33" s="46">
        <v>8</v>
      </c>
      <c r="J33" s="46">
        <v>11</v>
      </c>
      <c r="K33" s="46">
        <v>8</v>
      </c>
      <c r="L33" s="46">
        <v>8</v>
      </c>
      <c r="M33" s="46">
        <v>8</v>
      </c>
      <c r="N33" s="46"/>
      <c r="O33" s="46">
        <v>8</v>
      </c>
      <c r="P33" s="46">
        <v>8</v>
      </c>
      <c r="Q33" s="46">
        <v>8</v>
      </c>
      <c r="R33" s="46">
        <v>8</v>
      </c>
      <c r="S33" s="46">
        <v>8</v>
      </c>
      <c r="T33" s="46">
        <v>8</v>
      </c>
      <c r="U33" s="46"/>
      <c r="V33" s="46">
        <v>8</v>
      </c>
      <c r="W33" s="46">
        <v>8</v>
      </c>
      <c r="X33" s="46">
        <v>8</v>
      </c>
      <c r="Y33" s="46">
        <v>8</v>
      </c>
      <c r="Z33" s="46">
        <v>8</v>
      </c>
      <c r="AA33" s="46">
        <v>8</v>
      </c>
      <c r="AB33" s="46"/>
      <c r="AC33" s="46">
        <v>8</v>
      </c>
      <c r="AD33" s="46">
        <v>8</v>
      </c>
      <c r="AE33" s="46">
        <v>8</v>
      </c>
      <c r="AF33" s="46">
        <v>8</v>
      </c>
      <c r="AG33" s="46"/>
      <c r="AH33" s="46"/>
      <c r="AI33" s="44">
        <f>SUM(E33:AH33)</f>
        <v>171</v>
      </c>
      <c r="AJ33" s="127"/>
      <c r="AK33" s="130"/>
    </row>
    <row r="34" spans="1:37" ht="18.75" customHeight="1" x14ac:dyDescent="0.25">
      <c r="A34" s="34">
        <v>32</v>
      </c>
      <c r="B34" s="40" t="s">
        <v>34</v>
      </c>
      <c r="C34" s="71" t="s">
        <v>49</v>
      </c>
      <c r="D34" s="124"/>
      <c r="E34" s="46"/>
      <c r="F34" s="46"/>
      <c r="G34" s="46"/>
      <c r="H34" s="46"/>
      <c r="I34" s="46"/>
      <c r="J34" s="46">
        <v>8</v>
      </c>
      <c r="K34" s="46">
        <v>8</v>
      </c>
      <c r="L34" s="46">
        <v>8</v>
      </c>
      <c r="M34" s="46">
        <v>8</v>
      </c>
      <c r="N34" s="46">
        <v>8</v>
      </c>
      <c r="O34" s="46">
        <v>8</v>
      </c>
      <c r="P34" s="46"/>
      <c r="Q34" s="46">
        <v>8</v>
      </c>
      <c r="R34" s="46">
        <v>8</v>
      </c>
      <c r="S34" s="46">
        <v>8</v>
      </c>
      <c r="T34" s="46">
        <v>8</v>
      </c>
      <c r="U34" s="46">
        <v>8</v>
      </c>
      <c r="V34" s="46"/>
      <c r="W34" s="46">
        <v>8</v>
      </c>
      <c r="X34" s="46">
        <v>8</v>
      </c>
      <c r="Y34" s="46"/>
      <c r="Z34" s="46">
        <v>8</v>
      </c>
      <c r="AA34" s="46">
        <v>8</v>
      </c>
      <c r="AB34" s="46">
        <v>8</v>
      </c>
      <c r="AC34" s="46"/>
      <c r="AD34" s="46">
        <v>8</v>
      </c>
      <c r="AE34" s="46">
        <v>8</v>
      </c>
      <c r="AF34" s="46"/>
      <c r="AG34" s="46"/>
      <c r="AH34" s="46"/>
      <c r="AI34" s="44">
        <f>SUM(E34:AH34)</f>
        <v>144</v>
      </c>
      <c r="AJ34" s="127"/>
      <c r="AK34" s="130"/>
    </row>
    <row r="35" spans="1:37" ht="18.75" customHeight="1" x14ac:dyDescent="0.25">
      <c r="A35" s="34">
        <v>33</v>
      </c>
      <c r="B35" s="40" t="s">
        <v>35</v>
      </c>
      <c r="C35" s="71" t="s">
        <v>50</v>
      </c>
      <c r="D35" s="124"/>
      <c r="E35" s="46">
        <v>8</v>
      </c>
      <c r="F35" s="46">
        <v>8</v>
      </c>
      <c r="G35" s="46">
        <v>8</v>
      </c>
      <c r="H35" s="46">
        <v>8</v>
      </c>
      <c r="I35" s="46">
        <v>8</v>
      </c>
      <c r="J35" s="46">
        <v>11</v>
      </c>
      <c r="K35" s="46">
        <v>11</v>
      </c>
      <c r="L35" s="46"/>
      <c r="M35" s="46">
        <v>8</v>
      </c>
      <c r="N35" s="46">
        <v>8</v>
      </c>
      <c r="O35" s="46">
        <v>8</v>
      </c>
      <c r="P35" s="46">
        <v>8</v>
      </c>
      <c r="Q35" s="46">
        <v>8</v>
      </c>
      <c r="R35" s="46">
        <v>8</v>
      </c>
      <c r="S35" s="46">
        <v>8</v>
      </c>
      <c r="T35" s="46"/>
      <c r="U35" s="46">
        <v>8</v>
      </c>
      <c r="V35" s="46">
        <v>8</v>
      </c>
      <c r="W35" s="46">
        <v>8</v>
      </c>
      <c r="X35" s="46">
        <v>8</v>
      </c>
      <c r="Y35" s="46">
        <v>8</v>
      </c>
      <c r="Z35" s="46">
        <v>8</v>
      </c>
      <c r="AA35" s="46"/>
      <c r="AB35" s="46">
        <v>8</v>
      </c>
      <c r="AC35" s="46">
        <v>8</v>
      </c>
      <c r="AD35" s="46">
        <v>8</v>
      </c>
      <c r="AE35" s="46">
        <v>8</v>
      </c>
      <c r="AF35" s="46">
        <v>8</v>
      </c>
      <c r="AG35" s="46"/>
      <c r="AH35" s="46">
        <v>8</v>
      </c>
      <c r="AI35" s="44">
        <f>SUM(E35:AH35)</f>
        <v>214</v>
      </c>
      <c r="AJ35" s="127"/>
      <c r="AK35" s="130"/>
    </row>
    <row r="36" spans="1:37" ht="18.75" customHeight="1" x14ac:dyDescent="0.25">
      <c r="A36" s="34">
        <v>34</v>
      </c>
      <c r="B36" s="37" t="s">
        <v>25</v>
      </c>
      <c r="C36" s="71" t="s">
        <v>61</v>
      </c>
      <c r="D36" s="124"/>
      <c r="E36" s="45">
        <v>8</v>
      </c>
      <c r="F36" s="45">
        <v>7</v>
      </c>
      <c r="G36" s="45">
        <v>7.5</v>
      </c>
      <c r="H36" s="45">
        <v>5.5</v>
      </c>
      <c r="I36" s="45">
        <v>7</v>
      </c>
      <c r="J36" s="45">
        <v>11</v>
      </c>
      <c r="K36" s="45"/>
      <c r="L36" s="45">
        <v>8</v>
      </c>
      <c r="M36" s="45">
        <v>8</v>
      </c>
      <c r="N36" s="45">
        <v>8</v>
      </c>
      <c r="O36" s="45">
        <v>8</v>
      </c>
      <c r="P36" s="45">
        <v>8</v>
      </c>
      <c r="Q36" s="45">
        <v>8</v>
      </c>
      <c r="R36" s="45">
        <v>8</v>
      </c>
      <c r="S36" s="45">
        <v>8</v>
      </c>
      <c r="T36" s="45"/>
      <c r="U36" s="45">
        <v>7.5</v>
      </c>
      <c r="V36" s="45">
        <v>8</v>
      </c>
      <c r="W36" s="45">
        <v>7.5</v>
      </c>
      <c r="X36" s="45">
        <v>8</v>
      </c>
      <c r="Y36" s="45">
        <v>8</v>
      </c>
      <c r="Z36" s="45">
        <v>8</v>
      </c>
      <c r="AA36" s="45">
        <v>8</v>
      </c>
      <c r="AB36" s="45"/>
      <c r="AC36" s="45">
        <v>7.5</v>
      </c>
      <c r="AD36" s="45">
        <v>8</v>
      </c>
      <c r="AE36" s="45">
        <v>8</v>
      </c>
      <c r="AF36" s="45">
        <v>8</v>
      </c>
      <c r="AG36" s="45"/>
      <c r="AH36" s="45">
        <v>8</v>
      </c>
      <c r="AI36" s="44">
        <f>SUM(E36:AH36)</f>
        <v>204.5</v>
      </c>
      <c r="AJ36" s="127"/>
      <c r="AK36" s="130"/>
    </row>
    <row r="37" spans="1:37" ht="15" customHeight="1" x14ac:dyDescent="0.25">
      <c r="A37" s="109" t="s">
        <v>43</v>
      </c>
      <c r="B37" s="109"/>
      <c r="C37" s="109"/>
      <c r="D37" s="109"/>
      <c r="E37" s="109"/>
      <c r="F37" s="109"/>
      <c r="G37" s="109"/>
      <c r="H37" s="109"/>
      <c r="I37" s="109"/>
      <c r="J37" s="109" t="s">
        <v>44</v>
      </c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 t="s">
        <v>45</v>
      </c>
      <c r="AD37" s="109"/>
      <c r="AE37" s="109"/>
      <c r="AF37" s="109"/>
      <c r="AG37" s="109"/>
      <c r="AH37" s="109"/>
      <c r="AI37" s="109"/>
      <c r="AJ37" s="109"/>
      <c r="AK37" s="109"/>
    </row>
    <row r="38" spans="1:37" ht="15" customHeight="1" x14ac:dyDescent="0.25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</row>
    <row r="39" spans="1:37" ht="15" customHeight="1" x14ac:dyDescent="0.25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</row>
    <row r="40" spans="1:37" ht="15" customHeight="1" x14ac:dyDescent="0.25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</row>
    <row r="41" spans="1:37" ht="63" customHeight="1" x14ac:dyDescent="0.25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</row>
    <row r="42" spans="1:37" ht="15" customHeight="1" x14ac:dyDescent="0.25">
      <c r="A42" s="58"/>
      <c r="B42" s="58"/>
      <c r="C42" s="72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</row>
    <row r="43" spans="1:37" ht="15" customHeight="1" x14ac:dyDescent="0.25">
      <c r="A43" s="58"/>
      <c r="B43" s="58"/>
      <c r="C43" s="72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</row>
  </sheetData>
  <mergeCells count="13">
    <mergeCell ref="D22:D36"/>
    <mergeCell ref="AJ22:AJ36"/>
    <mergeCell ref="AK22:AK36"/>
    <mergeCell ref="A37:I41"/>
    <mergeCell ref="J37:AB41"/>
    <mergeCell ref="AC37:AK41"/>
    <mergeCell ref="A1:AK1"/>
    <mergeCell ref="D3:D15"/>
    <mergeCell ref="AJ3:AJ15"/>
    <mergeCell ref="AK3:AK15"/>
    <mergeCell ref="D16:D21"/>
    <mergeCell ref="AJ16:AJ21"/>
    <mergeCell ref="AK16:AK21"/>
  </mergeCells>
  <pageMargins left="0.25" right="0" top="0.25" bottom="0" header="0.3" footer="0.3"/>
  <pageSetup scale="75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E13" sqref="E13"/>
    </sheetView>
  </sheetViews>
  <sheetFormatPr defaultColWidth="9.140625" defaultRowHeight="15" x14ac:dyDescent="0.25"/>
  <cols>
    <col min="1" max="1" width="5.5703125" customWidth="1"/>
    <col min="2" max="2" width="47.28515625" customWidth="1"/>
    <col min="3" max="3" width="10.5703125" bestFit="1" customWidth="1"/>
    <col min="4" max="4" width="6.5703125" bestFit="1" customWidth="1"/>
    <col min="5" max="5" width="10.5703125" bestFit="1" customWidth="1"/>
    <col min="6" max="6" width="42.42578125" customWidth="1"/>
    <col min="7" max="7" width="25.7109375" customWidth="1"/>
  </cols>
  <sheetData>
    <row r="1" spans="1:7" ht="18.75" x14ac:dyDescent="0.3">
      <c r="A1" s="141" t="s">
        <v>86</v>
      </c>
      <c r="B1" s="141"/>
      <c r="C1" s="141"/>
      <c r="D1" s="141"/>
      <c r="E1" s="141"/>
      <c r="F1" s="141"/>
      <c r="G1" s="141"/>
    </row>
    <row r="2" spans="1:7" x14ac:dyDescent="0.25">
      <c r="A2" s="80" t="s">
        <v>87</v>
      </c>
      <c r="B2" s="80" t="s">
        <v>88</v>
      </c>
      <c r="C2" s="80" t="s">
        <v>89</v>
      </c>
      <c r="D2" s="80" t="s">
        <v>90</v>
      </c>
      <c r="E2" s="80" t="s">
        <v>91</v>
      </c>
      <c r="F2" s="80" t="s">
        <v>92</v>
      </c>
      <c r="G2" s="80" t="s">
        <v>93</v>
      </c>
    </row>
    <row r="3" spans="1:7" ht="30" x14ac:dyDescent="0.25">
      <c r="A3" s="81">
        <v>1</v>
      </c>
      <c r="B3" s="82" t="s">
        <v>94</v>
      </c>
      <c r="C3" s="83" t="s">
        <v>95</v>
      </c>
      <c r="D3" s="84">
        <v>1</v>
      </c>
      <c r="E3" s="83">
        <v>10</v>
      </c>
      <c r="F3" s="85" t="s">
        <v>96</v>
      </c>
      <c r="G3" s="86"/>
    </row>
    <row r="4" spans="1:7" ht="45" x14ac:dyDescent="0.25">
      <c r="A4" s="81">
        <v>2</v>
      </c>
      <c r="B4" s="82" t="s">
        <v>97</v>
      </c>
      <c r="C4" s="83" t="s">
        <v>98</v>
      </c>
      <c r="D4" s="87">
        <v>0</v>
      </c>
      <c r="E4" s="83">
        <v>20</v>
      </c>
      <c r="F4" s="85" t="s">
        <v>99</v>
      </c>
      <c r="G4" s="85"/>
    </row>
    <row r="5" spans="1:7" ht="45" x14ac:dyDescent="0.25">
      <c r="A5" s="81">
        <v>3</v>
      </c>
      <c r="B5" s="82" t="s">
        <v>100</v>
      </c>
      <c r="C5" s="83" t="s">
        <v>95</v>
      </c>
      <c r="D5" s="88">
        <v>1</v>
      </c>
      <c r="E5" s="83">
        <v>20</v>
      </c>
      <c r="F5" s="89" t="s">
        <v>101</v>
      </c>
      <c r="G5" s="85"/>
    </row>
    <row r="6" spans="1:7" ht="45" x14ac:dyDescent="0.25">
      <c r="A6" s="81">
        <v>4</v>
      </c>
      <c r="B6" s="90" t="s">
        <v>102</v>
      </c>
      <c r="C6" s="91" t="s">
        <v>103</v>
      </c>
      <c r="D6" s="92">
        <v>2</v>
      </c>
      <c r="E6" s="91">
        <v>10</v>
      </c>
      <c r="F6" s="90" t="s">
        <v>104</v>
      </c>
      <c r="G6" s="86"/>
    </row>
    <row r="7" spans="1:7" ht="30" x14ac:dyDescent="0.25">
      <c r="A7" s="81">
        <v>5</v>
      </c>
      <c r="B7" s="90" t="s">
        <v>105</v>
      </c>
      <c r="C7" s="91" t="s">
        <v>95</v>
      </c>
      <c r="D7" s="93">
        <v>1</v>
      </c>
      <c r="E7" s="91">
        <v>10</v>
      </c>
      <c r="F7" s="85" t="s">
        <v>96</v>
      </c>
      <c r="G7" s="86"/>
    </row>
    <row r="8" spans="1:7" ht="45" x14ac:dyDescent="0.25">
      <c r="A8" s="81">
        <v>6</v>
      </c>
      <c r="B8" s="82" t="s">
        <v>106</v>
      </c>
      <c r="C8" s="83" t="s">
        <v>98</v>
      </c>
      <c r="D8" s="87">
        <v>0</v>
      </c>
      <c r="E8" s="83">
        <v>20</v>
      </c>
      <c r="F8" s="85" t="s">
        <v>99</v>
      </c>
      <c r="G8" s="94"/>
    </row>
    <row r="9" spans="1:7" ht="30" x14ac:dyDescent="0.25">
      <c r="A9" s="81">
        <v>7</v>
      </c>
      <c r="B9" s="95" t="s">
        <v>107</v>
      </c>
      <c r="C9" s="83" t="s">
        <v>95</v>
      </c>
      <c r="D9" s="84">
        <v>1</v>
      </c>
      <c r="E9" s="83">
        <v>10</v>
      </c>
      <c r="F9" s="85" t="s">
        <v>96</v>
      </c>
      <c r="G9" s="86"/>
    </row>
    <row r="10" spans="1:7" x14ac:dyDescent="0.25">
      <c r="A10" s="142" t="s">
        <v>108</v>
      </c>
      <c r="B10" s="142"/>
      <c r="C10" s="142"/>
      <c r="D10" s="142"/>
      <c r="E10" s="50">
        <f>SUM(E3:E9)</f>
        <v>100</v>
      </c>
      <c r="F10" s="96"/>
      <c r="G10" s="96"/>
    </row>
    <row r="11" spans="1:7" x14ac:dyDescent="0.25">
      <c r="A11" s="97"/>
      <c r="B11" s="97"/>
      <c r="C11" s="97"/>
      <c r="D11" s="97"/>
      <c r="E11" s="97"/>
      <c r="F11" s="96"/>
      <c r="G11" s="96"/>
    </row>
    <row r="12" spans="1:7" x14ac:dyDescent="0.25">
      <c r="A12" s="143" t="s">
        <v>109</v>
      </c>
      <c r="B12" s="143"/>
      <c r="C12" s="143"/>
      <c r="D12" s="143"/>
      <c r="E12" s="143"/>
      <c r="F12" s="143"/>
      <c r="G12" s="143"/>
    </row>
    <row r="13" spans="1:7" x14ac:dyDescent="0.25">
      <c r="A13" s="98"/>
      <c r="B13" s="98"/>
      <c r="C13" s="98"/>
      <c r="D13" s="98"/>
      <c r="E13" s="98"/>
      <c r="F13" s="98"/>
      <c r="G13" s="98"/>
    </row>
    <row r="14" spans="1:7" x14ac:dyDescent="0.25">
      <c r="A14" s="98"/>
      <c r="B14" s="98"/>
      <c r="C14" s="98"/>
      <c r="D14" s="98"/>
      <c r="E14" s="98"/>
      <c r="F14" s="98"/>
      <c r="G14" s="98"/>
    </row>
  </sheetData>
  <mergeCells count="3">
    <mergeCell ref="A1:G1"/>
    <mergeCell ref="A10:D10"/>
    <mergeCell ref="A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UPDATED </vt:lpstr>
      <vt:lpstr>UDATED-1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QURIE PUSHPA TOPNO</cp:lastModifiedBy>
  <cp:lastPrinted>2026-03-13T11:08:53Z</cp:lastPrinted>
  <dcterms:created xsi:type="dcterms:W3CDTF">2026-03-05T20:25:15Z</dcterms:created>
  <dcterms:modified xsi:type="dcterms:W3CDTF">2026-03-18T11:05:28Z</dcterms:modified>
</cp:coreProperties>
</file>