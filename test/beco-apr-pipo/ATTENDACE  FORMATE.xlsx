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4000" windowHeight="9480" activeTab="1"/>
  </bookViews>
  <sheets>
    <sheet name="rough" sheetId="3" r:id="rId1"/>
    <sheet name="April final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" hidden="1">'April final'!$A$1:$Q$385</definedName>
    <definedName name="_xlnm._FilterDatabase" localSheetId="0" hidden="1">rough!$A$1:$Q$5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5" i="1" l="1"/>
  <c r="I384" i="1"/>
  <c r="I383" i="1"/>
  <c r="I382" i="1"/>
  <c r="I3" i="3"/>
  <c r="I4" i="3"/>
  <c r="I5" i="3"/>
  <c r="I2" i="3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I357" i="1"/>
  <c r="H357" i="1"/>
  <c r="H331" i="1" l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I330" i="1"/>
  <c r="H33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I310" i="1"/>
  <c r="H310" i="1"/>
  <c r="I309" i="1"/>
  <c r="I30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I288" i="1"/>
  <c r="H288" i="1"/>
  <c r="I287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I276" i="1"/>
  <c r="I275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I253" i="1"/>
  <c r="H253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I227" i="1"/>
  <c r="H227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I200" i="1"/>
  <c r="H200" i="1"/>
  <c r="H175" i="1" l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I174" i="1"/>
  <c r="H174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I147" i="1"/>
  <c r="H147" i="1"/>
  <c r="L129" i="1" l="1"/>
  <c r="M129" i="1"/>
  <c r="P129" i="1" s="1"/>
  <c r="L130" i="1"/>
  <c r="M130" i="1"/>
  <c r="P130" i="1" s="1"/>
  <c r="L131" i="1"/>
  <c r="M131" i="1"/>
  <c r="P131" i="1" s="1"/>
  <c r="L132" i="1"/>
  <c r="M132" i="1"/>
  <c r="P132" i="1" s="1"/>
  <c r="L133" i="1"/>
  <c r="M133" i="1"/>
  <c r="P133" i="1" s="1"/>
  <c r="L134" i="1"/>
  <c r="M134" i="1"/>
  <c r="P134" i="1" s="1"/>
  <c r="L135" i="1"/>
  <c r="M135" i="1"/>
  <c r="P135" i="1" s="1"/>
  <c r="L136" i="1"/>
  <c r="M136" i="1"/>
  <c r="P136" i="1" s="1"/>
  <c r="L137" i="1"/>
  <c r="M137" i="1"/>
  <c r="P137" i="1" s="1"/>
  <c r="L138" i="1"/>
  <c r="M138" i="1"/>
  <c r="P138" i="1" s="1"/>
  <c r="L139" i="1"/>
  <c r="M139" i="1"/>
  <c r="P139" i="1" s="1"/>
  <c r="L140" i="1"/>
  <c r="M140" i="1"/>
  <c r="P140" i="1" s="1"/>
  <c r="L141" i="1"/>
  <c r="M141" i="1"/>
  <c r="P141" i="1" s="1"/>
  <c r="L142" i="1"/>
  <c r="M142" i="1"/>
  <c r="P142" i="1" s="1"/>
  <c r="L143" i="1"/>
  <c r="M143" i="1"/>
  <c r="P143" i="1" s="1"/>
  <c r="L144" i="1"/>
  <c r="M144" i="1"/>
  <c r="P144" i="1" s="1"/>
  <c r="L145" i="1"/>
  <c r="M145" i="1"/>
  <c r="P145" i="1" s="1"/>
  <c r="L146" i="1"/>
  <c r="M146" i="1"/>
  <c r="P146" i="1" s="1"/>
  <c r="H109" i="1"/>
  <c r="L109" i="1" s="1"/>
  <c r="I109" i="1"/>
  <c r="M109" i="1" s="1"/>
  <c r="P109" i="1" s="1"/>
  <c r="H110" i="1"/>
  <c r="L110" i="1" s="1"/>
  <c r="I110" i="1"/>
  <c r="M110" i="1" s="1"/>
  <c r="P110" i="1" s="1"/>
  <c r="H111" i="1"/>
  <c r="L111" i="1" s="1"/>
  <c r="I111" i="1"/>
  <c r="M111" i="1" s="1"/>
  <c r="P111" i="1" s="1"/>
  <c r="H112" i="1"/>
  <c r="L112" i="1" s="1"/>
  <c r="I112" i="1"/>
  <c r="M112" i="1" s="1"/>
  <c r="P112" i="1" s="1"/>
  <c r="H113" i="1"/>
  <c r="L113" i="1" s="1"/>
  <c r="I113" i="1"/>
  <c r="M113" i="1" s="1"/>
  <c r="P113" i="1" s="1"/>
  <c r="H114" i="1"/>
  <c r="L114" i="1" s="1"/>
  <c r="I114" i="1"/>
  <c r="M114" i="1" s="1"/>
  <c r="P114" i="1" s="1"/>
  <c r="H115" i="1"/>
  <c r="L115" i="1" s="1"/>
  <c r="I115" i="1"/>
  <c r="M115" i="1" s="1"/>
  <c r="P115" i="1" s="1"/>
  <c r="H116" i="1"/>
  <c r="L116" i="1" s="1"/>
  <c r="I116" i="1"/>
  <c r="M116" i="1" s="1"/>
  <c r="P116" i="1" s="1"/>
  <c r="H117" i="1"/>
  <c r="L117" i="1" s="1"/>
  <c r="I117" i="1"/>
  <c r="M117" i="1" s="1"/>
  <c r="P117" i="1" s="1"/>
  <c r="H118" i="1"/>
  <c r="L118" i="1" s="1"/>
  <c r="I118" i="1"/>
  <c r="M118" i="1" s="1"/>
  <c r="P118" i="1" s="1"/>
  <c r="H119" i="1"/>
  <c r="L119" i="1" s="1"/>
  <c r="I119" i="1"/>
  <c r="M119" i="1" s="1"/>
  <c r="P119" i="1" s="1"/>
  <c r="H120" i="1"/>
  <c r="L120" i="1" s="1"/>
  <c r="I120" i="1"/>
  <c r="M120" i="1" s="1"/>
  <c r="P120" i="1" s="1"/>
  <c r="H121" i="1"/>
  <c r="L121" i="1" s="1"/>
  <c r="I121" i="1"/>
  <c r="M121" i="1" s="1"/>
  <c r="P121" i="1" s="1"/>
  <c r="H122" i="1"/>
  <c r="L122" i="1" s="1"/>
  <c r="I122" i="1"/>
  <c r="M122" i="1" s="1"/>
  <c r="P122" i="1" s="1"/>
  <c r="H123" i="1"/>
  <c r="L123" i="1" s="1"/>
  <c r="I123" i="1"/>
  <c r="M123" i="1" s="1"/>
  <c r="P123" i="1" s="1"/>
  <c r="H124" i="1"/>
  <c r="L124" i="1" s="1"/>
  <c r="I124" i="1"/>
  <c r="M124" i="1" s="1"/>
  <c r="P124" i="1" s="1"/>
  <c r="H125" i="1"/>
  <c r="L125" i="1" s="1"/>
  <c r="I125" i="1"/>
  <c r="M125" i="1" s="1"/>
  <c r="P125" i="1" s="1"/>
  <c r="H126" i="1"/>
  <c r="L126" i="1" s="1"/>
  <c r="I126" i="1"/>
  <c r="M126" i="1" s="1"/>
  <c r="P126" i="1" s="1"/>
  <c r="H127" i="1"/>
  <c r="L127" i="1" s="1"/>
  <c r="I127" i="1"/>
  <c r="M127" i="1" s="1"/>
  <c r="P127" i="1" s="1"/>
  <c r="H128" i="1"/>
  <c r="L128" i="1" s="1"/>
  <c r="I128" i="1"/>
  <c r="M128" i="1" s="1"/>
  <c r="P128" i="1" s="1"/>
  <c r="I108" i="1"/>
  <c r="M108" i="1" s="1"/>
  <c r="P108" i="1" s="1"/>
  <c r="H108" i="1"/>
  <c r="L108" i="1" s="1"/>
  <c r="H98" i="1"/>
  <c r="L98" i="1" s="1"/>
  <c r="I98" i="1"/>
  <c r="M98" i="1" s="1"/>
  <c r="P98" i="1" s="1"/>
  <c r="H99" i="1"/>
  <c r="L99" i="1" s="1"/>
  <c r="I99" i="1"/>
  <c r="M99" i="1" s="1"/>
  <c r="P99" i="1" s="1"/>
  <c r="H100" i="1"/>
  <c r="L100" i="1" s="1"/>
  <c r="I100" i="1"/>
  <c r="M100" i="1" s="1"/>
  <c r="H101" i="1"/>
  <c r="L101" i="1" s="1"/>
  <c r="I101" i="1"/>
  <c r="M101" i="1" s="1"/>
  <c r="P101" i="1" s="1"/>
  <c r="H102" i="1"/>
  <c r="L102" i="1" s="1"/>
  <c r="I102" i="1"/>
  <c r="M102" i="1" s="1"/>
  <c r="P102" i="1" s="1"/>
  <c r="H103" i="1"/>
  <c r="L103" i="1" s="1"/>
  <c r="I103" i="1"/>
  <c r="M103" i="1" s="1"/>
  <c r="P103" i="1" s="1"/>
  <c r="H104" i="1"/>
  <c r="L104" i="1" s="1"/>
  <c r="I104" i="1"/>
  <c r="M104" i="1" s="1"/>
  <c r="P104" i="1" s="1"/>
  <c r="H105" i="1"/>
  <c r="L105" i="1" s="1"/>
  <c r="I105" i="1"/>
  <c r="M105" i="1" s="1"/>
  <c r="P105" i="1" s="1"/>
  <c r="H106" i="1"/>
  <c r="L106" i="1" s="1"/>
  <c r="I106" i="1"/>
  <c r="M106" i="1" s="1"/>
  <c r="P106" i="1" s="1"/>
  <c r="H107" i="1"/>
  <c r="L107" i="1" s="1"/>
  <c r="I107" i="1"/>
  <c r="M107" i="1" s="1"/>
  <c r="P107" i="1" s="1"/>
  <c r="H76" i="1"/>
  <c r="L76" i="1" s="1"/>
  <c r="I76" i="1"/>
  <c r="M76" i="1" s="1"/>
  <c r="P76" i="1" s="1"/>
  <c r="H77" i="1"/>
  <c r="L77" i="1" s="1"/>
  <c r="I77" i="1"/>
  <c r="M77" i="1" s="1"/>
  <c r="P77" i="1" s="1"/>
  <c r="H78" i="1"/>
  <c r="L78" i="1" s="1"/>
  <c r="I78" i="1"/>
  <c r="M78" i="1" s="1"/>
  <c r="P78" i="1" s="1"/>
  <c r="H79" i="1"/>
  <c r="L79" i="1" s="1"/>
  <c r="I79" i="1"/>
  <c r="M79" i="1" s="1"/>
  <c r="P79" i="1" s="1"/>
  <c r="H80" i="1"/>
  <c r="L80" i="1" s="1"/>
  <c r="I80" i="1"/>
  <c r="M80" i="1" s="1"/>
  <c r="P80" i="1" s="1"/>
  <c r="H81" i="1"/>
  <c r="L81" i="1" s="1"/>
  <c r="I81" i="1"/>
  <c r="M81" i="1" s="1"/>
  <c r="P81" i="1" s="1"/>
  <c r="H82" i="1"/>
  <c r="L82" i="1" s="1"/>
  <c r="I82" i="1"/>
  <c r="M82" i="1" s="1"/>
  <c r="P82" i="1" s="1"/>
  <c r="H83" i="1"/>
  <c r="L83" i="1" s="1"/>
  <c r="I83" i="1"/>
  <c r="M83" i="1" s="1"/>
  <c r="P83" i="1" s="1"/>
  <c r="H84" i="1"/>
  <c r="L84" i="1" s="1"/>
  <c r="I84" i="1"/>
  <c r="M84" i="1" s="1"/>
  <c r="P84" i="1" s="1"/>
  <c r="H85" i="1"/>
  <c r="L85" i="1" s="1"/>
  <c r="I85" i="1"/>
  <c r="M85" i="1" s="1"/>
  <c r="P85" i="1" s="1"/>
  <c r="H86" i="1"/>
  <c r="L86" i="1" s="1"/>
  <c r="I86" i="1"/>
  <c r="M86" i="1" s="1"/>
  <c r="P86" i="1" s="1"/>
  <c r="H87" i="1"/>
  <c r="L87" i="1" s="1"/>
  <c r="I87" i="1"/>
  <c r="M87" i="1" s="1"/>
  <c r="P87" i="1" s="1"/>
  <c r="H88" i="1"/>
  <c r="L88" i="1" s="1"/>
  <c r="I88" i="1"/>
  <c r="M88" i="1" s="1"/>
  <c r="P88" i="1" s="1"/>
  <c r="H89" i="1"/>
  <c r="L89" i="1" s="1"/>
  <c r="I89" i="1"/>
  <c r="M89" i="1" s="1"/>
  <c r="P89" i="1" s="1"/>
  <c r="H90" i="1"/>
  <c r="L90" i="1" s="1"/>
  <c r="I90" i="1"/>
  <c r="M90" i="1" s="1"/>
  <c r="P90" i="1" s="1"/>
  <c r="H91" i="1"/>
  <c r="L91" i="1" s="1"/>
  <c r="I91" i="1"/>
  <c r="M91" i="1" s="1"/>
  <c r="P91" i="1" s="1"/>
  <c r="H92" i="1"/>
  <c r="L92" i="1" s="1"/>
  <c r="I92" i="1"/>
  <c r="M92" i="1" s="1"/>
  <c r="P92" i="1" s="1"/>
  <c r="H93" i="1"/>
  <c r="L93" i="1" s="1"/>
  <c r="I93" i="1"/>
  <c r="M93" i="1" s="1"/>
  <c r="P93" i="1" s="1"/>
  <c r="H94" i="1"/>
  <c r="L94" i="1" s="1"/>
  <c r="I94" i="1"/>
  <c r="M94" i="1" s="1"/>
  <c r="P94" i="1" s="1"/>
  <c r="H95" i="1"/>
  <c r="L95" i="1" s="1"/>
  <c r="I95" i="1"/>
  <c r="M95" i="1" s="1"/>
  <c r="P95" i="1" s="1"/>
  <c r="H96" i="1"/>
  <c r="L96" i="1" s="1"/>
  <c r="I96" i="1"/>
  <c r="M96" i="1" s="1"/>
  <c r="P96" i="1" s="1"/>
  <c r="H97" i="1"/>
  <c r="L97" i="1" s="1"/>
  <c r="I97" i="1"/>
  <c r="M97" i="1" s="1"/>
  <c r="P97" i="1" s="1"/>
  <c r="I75" i="1"/>
  <c r="M75" i="1" s="1"/>
  <c r="P75" i="1" s="1"/>
  <c r="H75" i="1"/>
  <c r="L75" i="1" s="1"/>
  <c r="H53" i="1"/>
  <c r="L53" i="1" s="1"/>
  <c r="I53" i="1"/>
  <c r="M53" i="1" s="1"/>
  <c r="P53" i="1" s="1"/>
  <c r="H54" i="1"/>
  <c r="L54" i="1" s="1"/>
  <c r="I54" i="1"/>
  <c r="M54" i="1" s="1"/>
  <c r="P54" i="1" s="1"/>
  <c r="H55" i="1"/>
  <c r="L55" i="1" s="1"/>
  <c r="I55" i="1"/>
  <c r="M55" i="1" s="1"/>
  <c r="P55" i="1" s="1"/>
  <c r="H56" i="1"/>
  <c r="L56" i="1" s="1"/>
  <c r="I56" i="1"/>
  <c r="M56" i="1" s="1"/>
  <c r="P56" i="1" s="1"/>
  <c r="H57" i="1"/>
  <c r="L57" i="1" s="1"/>
  <c r="I57" i="1"/>
  <c r="M57" i="1" s="1"/>
  <c r="P57" i="1" s="1"/>
  <c r="H58" i="1"/>
  <c r="L58" i="1" s="1"/>
  <c r="I58" i="1"/>
  <c r="M58" i="1" s="1"/>
  <c r="P58" i="1" s="1"/>
  <c r="H59" i="1"/>
  <c r="L59" i="1" s="1"/>
  <c r="I59" i="1"/>
  <c r="M59" i="1" s="1"/>
  <c r="P59" i="1" s="1"/>
  <c r="H60" i="1"/>
  <c r="L60" i="1" s="1"/>
  <c r="I60" i="1"/>
  <c r="M60" i="1" s="1"/>
  <c r="P60" i="1" s="1"/>
  <c r="H61" i="1"/>
  <c r="L61" i="1" s="1"/>
  <c r="I61" i="1"/>
  <c r="M61" i="1" s="1"/>
  <c r="P61" i="1" s="1"/>
  <c r="H62" i="1"/>
  <c r="L62" i="1" s="1"/>
  <c r="I62" i="1"/>
  <c r="M62" i="1" s="1"/>
  <c r="P62" i="1" s="1"/>
  <c r="H63" i="1"/>
  <c r="L63" i="1" s="1"/>
  <c r="I63" i="1"/>
  <c r="M63" i="1" s="1"/>
  <c r="P63" i="1" s="1"/>
  <c r="H64" i="1"/>
  <c r="L64" i="1" s="1"/>
  <c r="I64" i="1"/>
  <c r="M64" i="1" s="1"/>
  <c r="P64" i="1" s="1"/>
  <c r="H65" i="1"/>
  <c r="L65" i="1" s="1"/>
  <c r="I65" i="1"/>
  <c r="M65" i="1" s="1"/>
  <c r="P65" i="1" s="1"/>
  <c r="H66" i="1"/>
  <c r="L66" i="1" s="1"/>
  <c r="I66" i="1"/>
  <c r="M66" i="1" s="1"/>
  <c r="P66" i="1" s="1"/>
  <c r="H67" i="1"/>
  <c r="L67" i="1" s="1"/>
  <c r="I67" i="1"/>
  <c r="M67" i="1" s="1"/>
  <c r="P67" i="1" s="1"/>
  <c r="H68" i="1"/>
  <c r="L68" i="1" s="1"/>
  <c r="I68" i="1"/>
  <c r="M68" i="1" s="1"/>
  <c r="P68" i="1" s="1"/>
  <c r="H69" i="1"/>
  <c r="L69" i="1" s="1"/>
  <c r="I69" i="1"/>
  <c r="M69" i="1" s="1"/>
  <c r="P69" i="1" s="1"/>
  <c r="H70" i="1"/>
  <c r="L70" i="1" s="1"/>
  <c r="I70" i="1"/>
  <c r="M70" i="1" s="1"/>
  <c r="P70" i="1" s="1"/>
  <c r="H71" i="1"/>
  <c r="L71" i="1" s="1"/>
  <c r="I71" i="1"/>
  <c r="M71" i="1" s="1"/>
  <c r="P71" i="1" s="1"/>
  <c r="H72" i="1"/>
  <c r="L72" i="1" s="1"/>
  <c r="I72" i="1"/>
  <c r="M72" i="1" s="1"/>
  <c r="P72" i="1" s="1"/>
  <c r="H73" i="1"/>
  <c r="L73" i="1" s="1"/>
  <c r="I73" i="1"/>
  <c r="M73" i="1" s="1"/>
  <c r="P73" i="1" s="1"/>
  <c r="H74" i="1"/>
  <c r="L74" i="1" s="1"/>
  <c r="I74" i="1"/>
  <c r="M74" i="1" s="1"/>
  <c r="P74" i="1" s="1"/>
  <c r="I52" i="1"/>
  <c r="M52" i="1" s="1"/>
  <c r="P52" i="1" s="1"/>
  <c r="H52" i="1"/>
  <c r="L52" i="1" s="1"/>
  <c r="H30" i="1"/>
  <c r="L30" i="1" s="1"/>
  <c r="I30" i="1"/>
  <c r="M30" i="1" s="1"/>
  <c r="P30" i="1" s="1"/>
  <c r="H31" i="1"/>
  <c r="L31" i="1" s="1"/>
  <c r="I31" i="1"/>
  <c r="M31" i="1" s="1"/>
  <c r="H32" i="1"/>
  <c r="L32" i="1" s="1"/>
  <c r="I32" i="1"/>
  <c r="M32" i="1" s="1"/>
  <c r="P32" i="1" s="1"/>
  <c r="H33" i="1"/>
  <c r="L33" i="1" s="1"/>
  <c r="I33" i="1"/>
  <c r="M33" i="1" s="1"/>
  <c r="P33" i="1" s="1"/>
  <c r="H34" i="1"/>
  <c r="L34" i="1" s="1"/>
  <c r="I34" i="1"/>
  <c r="M34" i="1" s="1"/>
  <c r="P34" i="1" s="1"/>
  <c r="H35" i="1"/>
  <c r="L35" i="1" s="1"/>
  <c r="I35" i="1"/>
  <c r="M35" i="1" s="1"/>
  <c r="P35" i="1" s="1"/>
  <c r="H36" i="1"/>
  <c r="L36" i="1" s="1"/>
  <c r="I36" i="1"/>
  <c r="M36" i="1" s="1"/>
  <c r="P36" i="1" s="1"/>
  <c r="H37" i="1"/>
  <c r="L37" i="1" s="1"/>
  <c r="I37" i="1"/>
  <c r="M37" i="1" s="1"/>
  <c r="P37" i="1" s="1"/>
  <c r="H38" i="1"/>
  <c r="L38" i="1" s="1"/>
  <c r="I38" i="1"/>
  <c r="M38" i="1" s="1"/>
  <c r="P38" i="1" s="1"/>
  <c r="H39" i="1"/>
  <c r="L39" i="1" s="1"/>
  <c r="I39" i="1"/>
  <c r="M39" i="1" s="1"/>
  <c r="P39" i="1" s="1"/>
  <c r="H40" i="1"/>
  <c r="L40" i="1" s="1"/>
  <c r="I40" i="1"/>
  <c r="M40" i="1" s="1"/>
  <c r="P40" i="1" s="1"/>
  <c r="H41" i="1"/>
  <c r="L41" i="1" s="1"/>
  <c r="I41" i="1"/>
  <c r="M41" i="1" s="1"/>
  <c r="P41" i="1" s="1"/>
  <c r="H42" i="1"/>
  <c r="L42" i="1" s="1"/>
  <c r="I42" i="1"/>
  <c r="M42" i="1" s="1"/>
  <c r="P42" i="1" s="1"/>
  <c r="H43" i="1"/>
  <c r="L43" i="1" s="1"/>
  <c r="I43" i="1"/>
  <c r="M43" i="1" s="1"/>
  <c r="P43" i="1" s="1"/>
  <c r="H44" i="1"/>
  <c r="L44" i="1" s="1"/>
  <c r="I44" i="1"/>
  <c r="M44" i="1" s="1"/>
  <c r="P44" i="1" s="1"/>
  <c r="H45" i="1"/>
  <c r="L45" i="1" s="1"/>
  <c r="I45" i="1"/>
  <c r="M45" i="1" s="1"/>
  <c r="P45" i="1" s="1"/>
  <c r="H46" i="1"/>
  <c r="L46" i="1" s="1"/>
  <c r="I46" i="1"/>
  <c r="M46" i="1" s="1"/>
  <c r="P46" i="1" s="1"/>
  <c r="H47" i="1"/>
  <c r="L47" i="1" s="1"/>
  <c r="I47" i="1"/>
  <c r="M47" i="1" s="1"/>
  <c r="P47" i="1" s="1"/>
  <c r="H48" i="1"/>
  <c r="L48" i="1" s="1"/>
  <c r="I48" i="1"/>
  <c r="M48" i="1" s="1"/>
  <c r="P48" i="1" s="1"/>
  <c r="H49" i="1"/>
  <c r="L49" i="1" s="1"/>
  <c r="I49" i="1"/>
  <c r="M49" i="1" s="1"/>
  <c r="H50" i="1"/>
  <c r="L50" i="1" s="1"/>
  <c r="I50" i="1"/>
  <c r="M50" i="1" s="1"/>
  <c r="P50" i="1" s="1"/>
  <c r="H51" i="1"/>
  <c r="L51" i="1" s="1"/>
  <c r="I51" i="1"/>
  <c r="M51" i="1" s="1"/>
  <c r="P51" i="1" s="1"/>
  <c r="I29" i="1"/>
  <c r="M29" i="1" s="1"/>
  <c r="P29" i="1" s="1"/>
  <c r="H29" i="1"/>
  <c r="L29" i="1" s="1"/>
  <c r="L26" i="1"/>
  <c r="M26" i="1"/>
  <c r="P26" i="1" s="1"/>
  <c r="L27" i="1"/>
  <c r="M27" i="1"/>
  <c r="P27" i="1" s="1"/>
  <c r="L28" i="1"/>
  <c r="M28" i="1"/>
  <c r="P28" i="1" s="1"/>
  <c r="H3" i="1"/>
  <c r="L3" i="1" s="1"/>
  <c r="I3" i="1"/>
  <c r="M3" i="1" s="1"/>
  <c r="P3" i="1" s="1"/>
  <c r="H4" i="1"/>
  <c r="L4" i="1" s="1"/>
  <c r="I4" i="1"/>
  <c r="M4" i="1" s="1"/>
  <c r="P4" i="1" s="1"/>
  <c r="H5" i="1"/>
  <c r="L5" i="1" s="1"/>
  <c r="I5" i="1"/>
  <c r="M5" i="1" s="1"/>
  <c r="P5" i="1" s="1"/>
  <c r="H6" i="1"/>
  <c r="L6" i="1" s="1"/>
  <c r="I6" i="1"/>
  <c r="M6" i="1" s="1"/>
  <c r="P6" i="1" s="1"/>
  <c r="H7" i="1"/>
  <c r="L7" i="1" s="1"/>
  <c r="I7" i="1"/>
  <c r="M7" i="1" s="1"/>
  <c r="P7" i="1" s="1"/>
  <c r="H8" i="1"/>
  <c r="L8" i="1" s="1"/>
  <c r="I8" i="1"/>
  <c r="M8" i="1" s="1"/>
  <c r="P8" i="1" s="1"/>
  <c r="H9" i="1"/>
  <c r="L9" i="1" s="1"/>
  <c r="I9" i="1"/>
  <c r="M9" i="1" s="1"/>
  <c r="P9" i="1" s="1"/>
  <c r="H10" i="1"/>
  <c r="L10" i="1" s="1"/>
  <c r="I10" i="1"/>
  <c r="M10" i="1" s="1"/>
  <c r="P10" i="1" s="1"/>
  <c r="H11" i="1"/>
  <c r="L11" i="1" s="1"/>
  <c r="I11" i="1"/>
  <c r="M11" i="1" s="1"/>
  <c r="P11" i="1" s="1"/>
  <c r="H12" i="1"/>
  <c r="L12" i="1" s="1"/>
  <c r="I12" i="1"/>
  <c r="M12" i="1" s="1"/>
  <c r="P12" i="1" s="1"/>
  <c r="H13" i="1"/>
  <c r="L13" i="1" s="1"/>
  <c r="I13" i="1"/>
  <c r="M13" i="1" s="1"/>
  <c r="P13" i="1" s="1"/>
  <c r="H14" i="1"/>
  <c r="L14" i="1" s="1"/>
  <c r="I14" i="1"/>
  <c r="M14" i="1" s="1"/>
  <c r="P14" i="1" s="1"/>
  <c r="H15" i="1"/>
  <c r="L15" i="1" s="1"/>
  <c r="I15" i="1"/>
  <c r="M15" i="1" s="1"/>
  <c r="P15" i="1" s="1"/>
  <c r="H16" i="1"/>
  <c r="L16" i="1" s="1"/>
  <c r="I16" i="1"/>
  <c r="M16" i="1" s="1"/>
  <c r="P16" i="1" s="1"/>
  <c r="H17" i="1"/>
  <c r="L17" i="1" s="1"/>
  <c r="I17" i="1"/>
  <c r="M17" i="1" s="1"/>
  <c r="P17" i="1" s="1"/>
  <c r="H18" i="1"/>
  <c r="L18" i="1" s="1"/>
  <c r="I18" i="1"/>
  <c r="M18" i="1" s="1"/>
  <c r="P18" i="1" s="1"/>
  <c r="H19" i="1"/>
  <c r="L19" i="1" s="1"/>
  <c r="I19" i="1"/>
  <c r="M19" i="1" s="1"/>
  <c r="P19" i="1" s="1"/>
  <c r="H20" i="1"/>
  <c r="L20" i="1" s="1"/>
  <c r="I20" i="1"/>
  <c r="M20" i="1" s="1"/>
  <c r="P20" i="1" s="1"/>
  <c r="H21" i="1"/>
  <c r="L21" i="1" s="1"/>
  <c r="I21" i="1"/>
  <c r="M21" i="1" s="1"/>
  <c r="P21" i="1" s="1"/>
  <c r="H22" i="1"/>
  <c r="L22" i="1" s="1"/>
  <c r="I22" i="1"/>
  <c r="M22" i="1" s="1"/>
  <c r="P22" i="1" s="1"/>
  <c r="H23" i="1"/>
  <c r="L23" i="1" s="1"/>
  <c r="I23" i="1"/>
  <c r="M23" i="1" s="1"/>
  <c r="P23" i="1" s="1"/>
  <c r="H24" i="1"/>
  <c r="L24" i="1" s="1"/>
  <c r="I24" i="1"/>
  <c r="M24" i="1" s="1"/>
  <c r="P24" i="1" s="1"/>
  <c r="H25" i="1"/>
  <c r="L25" i="1" s="1"/>
  <c r="I25" i="1"/>
  <c r="M25" i="1" s="1"/>
  <c r="P25" i="1" s="1"/>
  <c r="I2" i="1"/>
  <c r="M2" i="1" s="1"/>
  <c r="H2" i="1"/>
  <c r="L2" i="1" s="1"/>
  <c r="O49" i="1" l="1"/>
  <c r="Q49" i="1" s="1"/>
  <c r="O31" i="1"/>
  <c r="P49" i="1"/>
  <c r="P31" i="1"/>
  <c r="O135" i="1"/>
  <c r="Q135" i="1" s="1"/>
  <c r="O43" i="1"/>
  <c r="Q43" i="1" s="1"/>
  <c r="O131" i="1"/>
  <c r="Q131" i="1" s="1"/>
  <c r="O127" i="1"/>
  <c r="Q127" i="1" s="1"/>
  <c r="O97" i="1"/>
  <c r="Q97" i="1" s="1"/>
  <c r="O91" i="1"/>
  <c r="Q91" i="1" s="1"/>
  <c r="O85" i="1"/>
  <c r="Q85" i="1" s="1"/>
  <c r="O79" i="1"/>
  <c r="O113" i="1"/>
  <c r="O139" i="1"/>
  <c r="Q139" i="1" s="1"/>
  <c r="O136" i="1"/>
  <c r="Q136" i="1" s="1"/>
  <c r="O30" i="1"/>
  <c r="O70" i="1"/>
  <c r="Q70" i="1" s="1"/>
  <c r="O106" i="1"/>
  <c r="Q106" i="1" s="1"/>
  <c r="O132" i="1"/>
  <c r="Q132" i="1" s="1"/>
  <c r="O56" i="1"/>
  <c r="Q56" i="1" s="1"/>
  <c r="O134" i="1"/>
  <c r="Q134" i="1" s="1"/>
  <c r="O143" i="1"/>
  <c r="Q143" i="1" s="1"/>
  <c r="O137" i="1"/>
  <c r="Q137" i="1" s="1"/>
  <c r="O37" i="1"/>
  <c r="Q37" i="1" s="1"/>
  <c r="O115" i="1"/>
  <c r="Q115" i="1" s="1"/>
  <c r="O109" i="1"/>
  <c r="O141" i="1"/>
  <c r="Q141" i="1" s="1"/>
  <c r="O58" i="1"/>
  <c r="O130" i="1"/>
  <c r="O145" i="1"/>
  <c r="Q145" i="1" s="1"/>
  <c r="O129" i="1"/>
  <c r="Q129" i="1" s="1"/>
  <c r="O46" i="1"/>
  <c r="Q46" i="1" s="1"/>
  <c r="O34" i="1"/>
  <c r="Q34" i="1" s="1"/>
  <c r="O118" i="1"/>
  <c r="Q118" i="1" s="1"/>
  <c r="O144" i="1"/>
  <c r="O138" i="1"/>
  <c r="Q138" i="1" s="1"/>
  <c r="O133" i="1"/>
  <c r="O50" i="1"/>
  <c r="Q50" i="1" s="1"/>
  <c r="O44" i="1"/>
  <c r="Q44" i="1" s="1"/>
  <c r="O38" i="1"/>
  <c r="Q38" i="1" s="1"/>
  <c r="O32" i="1"/>
  <c r="O72" i="1"/>
  <c r="Q72" i="1" s="1"/>
  <c r="O66" i="1"/>
  <c r="Q66" i="1" s="1"/>
  <c r="O60" i="1"/>
  <c r="Q60" i="1" s="1"/>
  <c r="O54" i="1"/>
  <c r="Q54" i="1" s="1"/>
  <c r="O88" i="1"/>
  <c r="Q88" i="1" s="1"/>
  <c r="O82" i="1"/>
  <c r="Q82" i="1" s="1"/>
  <c r="O76" i="1"/>
  <c r="O102" i="1"/>
  <c r="Q102" i="1" s="1"/>
  <c r="O128" i="1"/>
  <c r="Q128" i="1" s="1"/>
  <c r="O122" i="1"/>
  <c r="Q122" i="1" s="1"/>
  <c r="O116" i="1"/>
  <c r="Q116" i="1" s="1"/>
  <c r="O110" i="1"/>
  <c r="O93" i="1"/>
  <c r="Q93" i="1" s="1"/>
  <c r="O59" i="1"/>
  <c r="Q59" i="1" s="1"/>
  <c r="O114" i="1"/>
  <c r="Q114" i="1" s="1"/>
  <c r="O83" i="1"/>
  <c r="Q83" i="1" s="1"/>
  <c r="O53" i="1"/>
  <c r="O80" i="1"/>
  <c r="O75" i="1"/>
  <c r="O108" i="1"/>
  <c r="O65" i="1"/>
  <c r="Q65" i="1" s="1"/>
  <c r="O101" i="1"/>
  <c r="Q101" i="1" s="1"/>
  <c r="O92" i="1"/>
  <c r="Q92" i="1" s="1"/>
  <c r="O100" i="1"/>
  <c r="Q100" i="1" s="1"/>
  <c r="O47" i="1"/>
  <c r="Q47" i="1" s="1"/>
  <c r="O57" i="1"/>
  <c r="O105" i="1"/>
  <c r="Q105" i="1" s="1"/>
  <c r="O99" i="1"/>
  <c r="Q99" i="1" s="1"/>
  <c r="O125" i="1"/>
  <c r="Q125" i="1" s="1"/>
  <c r="O119" i="1"/>
  <c r="Q119" i="1" s="1"/>
  <c r="O87" i="1"/>
  <c r="Q87" i="1" s="1"/>
  <c r="O42" i="1"/>
  <c r="Q42" i="1" s="1"/>
  <c r="O86" i="1"/>
  <c r="Q86" i="1" s="1"/>
  <c r="O41" i="1"/>
  <c r="Q41" i="1" s="1"/>
  <c r="O63" i="1"/>
  <c r="Q63" i="1" s="1"/>
  <c r="O35" i="1"/>
  <c r="O69" i="1"/>
  <c r="Q69" i="1" s="1"/>
  <c r="O40" i="1"/>
  <c r="Q40" i="1" s="1"/>
  <c r="O62" i="1"/>
  <c r="Q62" i="1" s="1"/>
  <c r="O78" i="1"/>
  <c r="O112" i="1"/>
  <c r="O71" i="1"/>
  <c r="Q71" i="1" s="1"/>
  <c r="O81" i="1"/>
  <c r="O64" i="1"/>
  <c r="Q64" i="1" s="1"/>
  <c r="O120" i="1"/>
  <c r="Q120" i="1" s="1"/>
  <c r="O96" i="1"/>
  <c r="Q96" i="1" s="1"/>
  <c r="O98" i="1"/>
  <c r="O29" i="1"/>
  <c r="O107" i="1"/>
  <c r="Q107" i="1" s="1"/>
  <c r="O36" i="1"/>
  <c r="Q36" i="1" s="1"/>
  <c r="O126" i="1"/>
  <c r="Q126" i="1" s="1"/>
  <c r="O52" i="1"/>
  <c r="O74" i="1"/>
  <c r="Q74" i="1" s="1"/>
  <c r="O68" i="1"/>
  <c r="Q68" i="1" s="1"/>
  <c r="O84" i="1"/>
  <c r="Q84" i="1" s="1"/>
  <c r="O104" i="1"/>
  <c r="Q104" i="1" s="1"/>
  <c r="O124" i="1"/>
  <c r="Q124" i="1" s="1"/>
  <c r="O51" i="1"/>
  <c r="Q51" i="1" s="1"/>
  <c r="O45" i="1"/>
  <c r="Q45" i="1" s="1"/>
  <c r="O39" i="1"/>
  <c r="Q39" i="1" s="1"/>
  <c r="O33" i="1"/>
  <c r="O73" i="1"/>
  <c r="Q73" i="1" s="1"/>
  <c r="O61" i="1"/>
  <c r="Q61" i="1" s="1"/>
  <c r="O55" i="1"/>
  <c r="Q55" i="1" s="1"/>
  <c r="O95" i="1"/>
  <c r="Q95" i="1" s="1"/>
  <c r="O89" i="1"/>
  <c r="Q89" i="1" s="1"/>
  <c r="O77" i="1"/>
  <c r="O103" i="1"/>
  <c r="Q103" i="1" s="1"/>
  <c r="O123" i="1"/>
  <c r="Q123" i="1" s="1"/>
  <c r="O111" i="1"/>
  <c r="Q111" i="1" s="1"/>
  <c r="O117" i="1"/>
  <c r="Q117" i="1" s="1"/>
  <c r="O140" i="1"/>
  <c r="Q140" i="1" s="1"/>
  <c r="O121" i="1"/>
  <c r="Q121" i="1" s="1"/>
  <c r="O48" i="1"/>
  <c r="Q48" i="1" s="1"/>
  <c r="O90" i="1"/>
  <c r="Q90" i="1" s="1"/>
  <c r="O67" i="1"/>
  <c r="Q67" i="1" s="1"/>
  <c r="O94" i="1"/>
  <c r="Q94" i="1" s="1"/>
  <c r="O146" i="1"/>
  <c r="Q146" i="1" s="1"/>
  <c r="O142" i="1"/>
  <c r="Q142" i="1" s="1"/>
  <c r="O27" i="1"/>
  <c r="Q27" i="1" s="1"/>
  <c r="O12" i="1"/>
  <c r="Q12" i="1" s="1"/>
  <c r="O26" i="1"/>
  <c r="O5" i="1"/>
  <c r="O16" i="1"/>
  <c r="Q16" i="1" s="1"/>
  <c r="O28" i="1"/>
  <c r="Q28" i="1" s="1"/>
  <c r="O25" i="1"/>
  <c r="Q25" i="1" s="1"/>
  <c r="O18" i="1"/>
  <c r="Q18" i="1" s="1"/>
  <c r="O6" i="1"/>
  <c r="O14" i="1"/>
  <c r="Q14" i="1" s="1"/>
  <c r="O20" i="1"/>
  <c r="Q20" i="1" s="1"/>
  <c r="O2" i="1"/>
  <c r="P2" i="1"/>
  <c r="O7" i="1"/>
  <c r="O19" i="1"/>
  <c r="Q19" i="1" s="1"/>
  <c r="O11" i="1"/>
  <c r="Q11" i="1" s="1"/>
  <c r="O23" i="1"/>
  <c r="Q23" i="1" s="1"/>
  <c r="O10" i="1"/>
  <c r="Q10" i="1" s="1"/>
  <c r="O15" i="1"/>
  <c r="Q15" i="1" s="1"/>
  <c r="O8" i="1"/>
  <c r="O22" i="1"/>
  <c r="Q22" i="1" s="1"/>
  <c r="O4" i="1"/>
  <c r="O9" i="1"/>
  <c r="O3" i="1"/>
  <c r="O21" i="1"/>
  <c r="Q21" i="1" s="1"/>
  <c r="O13" i="1"/>
  <c r="Q13" i="1" s="1"/>
  <c r="O24" i="1"/>
  <c r="Q24" i="1" s="1"/>
  <c r="O17" i="1"/>
  <c r="Q17" i="1" s="1"/>
  <c r="Q31" i="1" l="1"/>
  <c r="Q98" i="1"/>
  <c r="Q4" i="1"/>
  <c r="Q77" i="1"/>
  <c r="Q76" i="1"/>
  <c r="Q79" i="1"/>
  <c r="Q81" i="1"/>
  <c r="Q80" i="1"/>
  <c r="Q30" i="1"/>
  <c r="Q29" i="1"/>
  <c r="Q26" i="1"/>
  <c r="Q58" i="1"/>
  <c r="Q9" i="1"/>
  <c r="Q108" i="1"/>
  <c r="Q6" i="1"/>
  <c r="Q5" i="1"/>
  <c r="Q133" i="1"/>
  <c r="Q8" i="1"/>
  <c r="Q130" i="1"/>
  <c r="Q33" i="1"/>
  <c r="Q113" i="1"/>
  <c r="Q52" i="1"/>
  <c r="Q109" i="1"/>
  <c r="Q144" i="1"/>
  <c r="Q57" i="1"/>
  <c r="Q75" i="1"/>
  <c r="Q32" i="1"/>
  <c r="Q110" i="1"/>
  <c r="Q7" i="1"/>
  <c r="Q35" i="1"/>
  <c r="Q2" i="1"/>
  <c r="Q53" i="1"/>
  <c r="Q112" i="1"/>
  <c r="Q3" i="1"/>
  <c r="Q78" i="1"/>
</calcChain>
</file>

<file path=xl/sharedStrings.xml><?xml version="1.0" encoding="utf-8"?>
<sst xmlns="http://schemas.openxmlformats.org/spreadsheetml/2006/main" count="1343" uniqueCount="89">
  <si>
    <t>Date</t>
  </si>
  <si>
    <t>Safety Pass No</t>
  </si>
  <si>
    <t>Employee Name</t>
  </si>
  <si>
    <t>Designation</t>
  </si>
  <si>
    <t>Shift</t>
  </si>
  <si>
    <t>SHIFT IN</t>
  </si>
  <si>
    <t>SHIFTOUT</t>
  </si>
  <si>
    <t>In Time</t>
  </si>
  <si>
    <t>Out Time</t>
  </si>
  <si>
    <t>Gate IN</t>
  </si>
  <si>
    <t>Gate Out</t>
  </si>
  <si>
    <t>ROUND IN</t>
  </si>
  <si>
    <t>ROUND OUT</t>
  </si>
  <si>
    <t>LUNCH</t>
  </si>
  <si>
    <t>NORMAL HRS</t>
  </si>
  <si>
    <t>OT HRS</t>
  </si>
  <si>
    <t>BILLING HRS</t>
  </si>
  <si>
    <t>RW0911182377</t>
  </si>
  <si>
    <t>CHOTU LOHRA</t>
  </si>
  <si>
    <t>HS</t>
  </si>
  <si>
    <t>RD0918134974</t>
  </si>
  <si>
    <t xml:space="preserve">NALIN MAHATO </t>
  </si>
  <si>
    <t>VD0722561172</t>
  </si>
  <si>
    <t xml:space="preserve">RUPESH KUMAR </t>
  </si>
  <si>
    <t>RW0305045827</t>
  </si>
  <si>
    <t>LAXMAN BHADUK</t>
  </si>
  <si>
    <t>RD1203000744</t>
  </si>
  <si>
    <t xml:space="preserve">RAJU KALINDI </t>
  </si>
  <si>
    <t>RW0807096365</t>
  </si>
  <si>
    <t>NIPEN CH. SHUKUL</t>
  </si>
  <si>
    <t>RW0916154862</t>
  </si>
  <si>
    <t>SHIV SHANKAR (ELECTRICIAN)</t>
  </si>
  <si>
    <t>RW0403000921</t>
  </si>
  <si>
    <t>MAN MOHAN (Mechanic-I)</t>
  </si>
  <si>
    <t>RW0608113053</t>
  </si>
  <si>
    <t>RAJESH PRADHAN ( RIGGER)</t>
  </si>
  <si>
    <t>RW1011186925</t>
  </si>
  <si>
    <t>ANIL VERMA ( RIGGER)</t>
  </si>
  <si>
    <t>RW1019191001</t>
  </si>
  <si>
    <t>CHITRANJAN SHARMA ( FITTER)</t>
  </si>
  <si>
    <t>RW1110162302</t>
  </si>
  <si>
    <t>CHITRANJAN MAHATO</t>
  </si>
  <si>
    <t>S</t>
  </si>
  <si>
    <t>RW0907097796</t>
  </si>
  <si>
    <t>ASHOK ROY (Electrician)</t>
  </si>
  <si>
    <t>RW1103006020</t>
  </si>
  <si>
    <t xml:space="preserve">B N MAHAPATRO </t>
  </si>
  <si>
    <t>RW0611151520</t>
  </si>
  <si>
    <t xml:space="preserve">V RAJA RAO </t>
  </si>
  <si>
    <t>RW1204027584</t>
  </si>
  <si>
    <t>BALWINDER SINGH</t>
  </si>
  <si>
    <t>VW0123649596</t>
  </si>
  <si>
    <t>ABHISHEK BIRULI ( FITTER)</t>
  </si>
  <si>
    <t>SS</t>
  </si>
  <si>
    <t>VW0123657591</t>
  </si>
  <si>
    <t>HINDU BESRA ( FITTER )</t>
  </si>
  <si>
    <t>RW1223956402</t>
  </si>
  <si>
    <t>KARAN KUMAR ( STORE)</t>
  </si>
  <si>
    <t>RW1103005471</t>
  </si>
  <si>
    <t>NASIR ALI</t>
  </si>
  <si>
    <t>RW0911183405</t>
  </si>
  <si>
    <t>M NARAYAN RAO</t>
  </si>
  <si>
    <t>RW0512133959</t>
  </si>
  <si>
    <t>SUJIT KUMAR SINGH</t>
  </si>
  <si>
    <t>RW0218129961</t>
  </si>
  <si>
    <t>APURBA KR MAHATO</t>
  </si>
  <si>
    <t>JW0724246971</t>
  </si>
  <si>
    <t>NAVEEN KUMAR</t>
  </si>
  <si>
    <t>RW0621276455</t>
  </si>
  <si>
    <t>SUBHANDU MANDAL</t>
  </si>
  <si>
    <t>RW0822573453</t>
  </si>
  <si>
    <t>RATAN MAHATO</t>
  </si>
  <si>
    <t>RW0105038642</t>
  </si>
  <si>
    <t>NANDLAL TIU</t>
  </si>
  <si>
    <t>RS0604000979</t>
  </si>
  <si>
    <t>RAKESH RK SINGH</t>
  </si>
  <si>
    <t>RW0723808557</t>
  </si>
  <si>
    <t>VISHAL HANSDA</t>
  </si>
  <si>
    <t>RW0623791155</t>
  </si>
  <si>
    <t>TATA VENKAT RAO</t>
  </si>
  <si>
    <t>RW0204008111</t>
  </si>
  <si>
    <t>BASUDEO</t>
  </si>
  <si>
    <t>A</t>
  </si>
  <si>
    <t>G</t>
  </si>
  <si>
    <t>W1</t>
  </si>
  <si>
    <t>B</t>
  </si>
  <si>
    <t>C</t>
  </si>
  <si>
    <t>RD0721287965</t>
  </si>
  <si>
    <t>SUJIT KR. VISHWAKARMA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</si>
</sst>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:ss;@"/>
    <numFmt numFmtId="165" formatCode="h:mm;@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3" fillId="0" borderId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6" fontId="1" fillId="2" borderId="1" xfId="0" applyNumberFormat="1" applyFont="1" applyFill="1" applyBorder="1" applyAlignment="1">
      <alignment horizontal="center" vertical="center"/>
    </xf>
    <xf numFmtId="165" fontId="2" fillId="0" borderId="6" xfId="0" applyNumberFormat="1" applyFont="1" applyFill="1" applyBorder="1" applyAlignment="1">
      <alignment horizontal="center" vertical="center" wrapText="1"/>
    </xf>
    <xf numFmtId="165" fontId="2" fillId="0" borderId="7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165" fontId="2" fillId="0" borderId="8" xfId="0" applyNumberFormat="1" applyFont="1" applyFill="1" applyBorder="1" applyAlignment="1">
      <alignment horizontal="center" vertical="center" wrapText="1"/>
    </xf>
    <xf numFmtId="15" fontId="0" fillId="0" borderId="0" xfId="0" applyNumberFormat="1" applyFill="1" applyBorder="1"/>
    <xf numFmtId="0" fontId="0" fillId="0" borderId="0" xfId="0" applyFill="1" applyBorder="1"/>
    <xf numFmtId="20" fontId="0" fillId="0" borderId="0" xfId="0" applyNumberFormat="1" applyFill="1" applyBorder="1"/>
    <xf numFmtId="0" fontId="4" fillId="0" borderId="9" xfId="0" applyFont="1" applyBorder="1" applyAlignment="1">
      <alignment wrapText="1"/>
    </xf>
    <xf numFmtId="0" fontId="5" fillId="3" borderId="10" xfId="0" applyFont="1" applyFill="1" applyBorder="1"/>
    <xf numFmtId="0" fontId="4" fillId="0" borderId="1" xfId="0" applyFont="1" applyBorder="1" applyAlignment="1">
      <alignment wrapText="1"/>
    </xf>
    <xf numFmtId="0" fontId="5" fillId="3" borderId="11" xfId="0" applyFont="1" applyFill="1" applyBorder="1"/>
    <xf numFmtId="0" fontId="6" fillId="4" borderId="3" xfId="0" applyFont="1" applyFill="1" applyBorder="1"/>
    <xf numFmtId="0" fontId="6" fillId="3" borderId="12" xfId="0" applyFont="1" applyFill="1" applyBorder="1"/>
    <xf numFmtId="0" fontId="5" fillId="3" borderId="11" xfId="0" applyFont="1" applyFill="1" applyBorder="1" applyAlignment="1">
      <alignment horizontal="left"/>
    </xf>
    <xf numFmtId="0" fontId="5" fillId="3" borderId="13" xfId="0" applyFont="1" applyFill="1" applyBorder="1"/>
    <xf numFmtId="0" fontId="5" fillId="5" borderId="11" xfId="0" applyFont="1" applyFill="1" applyBorder="1"/>
    <xf numFmtId="0" fontId="6" fillId="5" borderId="11" xfId="0" applyFont="1" applyFill="1" applyBorder="1"/>
    <xf numFmtId="0" fontId="6" fillId="5" borderId="0" xfId="0" applyFont="1" applyFill="1"/>
    <xf numFmtId="0" fontId="4" fillId="6" borderId="1" xfId="0" applyFont="1" applyFill="1" applyBorder="1" applyAlignment="1">
      <alignment wrapText="1"/>
    </xf>
    <xf numFmtId="0" fontId="5" fillId="6" borderId="13" xfId="0" applyFont="1" applyFill="1" applyBorder="1"/>
    <xf numFmtId="0" fontId="6" fillId="7" borderId="11" xfId="0" applyFont="1" applyFill="1" applyBorder="1"/>
    <xf numFmtId="0" fontId="5" fillId="6" borderId="14" xfId="0" applyFont="1" applyFill="1" applyBorder="1"/>
    <xf numFmtId="0" fontId="5" fillId="6" borderId="2" xfId="0" applyFont="1" applyFill="1" applyBorder="1"/>
    <xf numFmtId="0" fontId="6" fillId="6" borderId="2" xfId="0" applyFont="1" applyFill="1" applyBorder="1"/>
    <xf numFmtId="0" fontId="4" fillId="6" borderId="2" xfId="0" applyFont="1" applyFill="1" applyBorder="1"/>
    <xf numFmtId="0" fontId="6" fillId="6" borderId="13" xfId="0" applyFont="1" applyFill="1" applyBorder="1"/>
    <xf numFmtId="0" fontId="0" fillId="0" borderId="0" xfId="0" applyFill="1"/>
    <xf numFmtId="15" fontId="0" fillId="0" borderId="0" xfId="0" applyNumberFormat="1" applyFill="1"/>
    <xf numFmtId="18" fontId="0" fillId="0" borderId="0" xfId="0" applyNumberFormat="1" applyFill="1"/>
    <xf numFmtId="15" fontId="7" fillId="0" borderId="0" xfId="0" applyNumberFormat="1" applyFont="1" applyFill="1"/>
    <xf numFmtId="0" fontId="7" fillId="0" borderId="0" xfId="0" applyFont="1"/>
  </cellXfs>
  <cellStyles count="3">
    <cellStyle name="Normal" xfId="0" builtinId="0"/>
    <cellStyle name="Normal 11" xfId="2"/>
    <cellStyle name="Normal 2" xfId="1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3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6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7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9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0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3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4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5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6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unch%20Data%20(1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Sheet3"/>
      <sheetName val="OUT"/>
      <sheetName val="Sheet4"/>
      <sheetName val="Sheet1"/>
    </sheetNames>
    <sheetDataSet>
      <sheetData sheetId="0"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0.34005787037037033</v>
          </cell>
          <cell r="K2" t="str">
            <v>AGENCY-SEC-BIOMETRIC -READER-9(PH#3)- IN</v>
          </cell>
          <cell r="L2" t="str">
            <v>JSR - Tata Steel Ltd</v>
          </cell>
        </row>
        <row r="3">
          <cell r="A3" t="str">
            <v>RD1203000744</v>
          </cell>
          <cell r="B3" t="str">
            <v>0004529569</v>
          </cell>
          <cell r="C3" t="str">
            <v>RAJU KALINDI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TSP/868847/0226</v>
          </cell>
          <cell r="I3" t="str">
            <v>IN</v>
          </cell>
          <cell r="J3">
            <v>0.32740740740740742</v>
          </cell>
          <cell r="K3" t="str">
            <v>AF SGP IN</v>
          </cell>
          <cell r="L3" t="str">
            <v>JSR - Tata Steel Ltd</v>
          </cell>
        </row>
        <row r="4">
          <cell r="A4" t="str">
            <v>RS0604000979</v>
          </cell>
          <cell r="B4" t="str">
            <v>0013594906</v>
          </cell>
          <cell r="C4" t="str">
            <v>RAKESH KUMAR SINGH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TSP/882842/0226</v>
          </cell>
          <cell r="I4" t="str">
            <v>IN</v>
          </cell>
          <cell r="J4">
            <v>0.24488425925925927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RW0105038642</v>
          </cell>
          <cell r="B5" t="str">
            <v>0009289525</v>
          </cell>
          <cell r="C5" t="str">
            <v>NAND LAL TIU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TSP/882844/0226</v>
          </cell>
          <cell r="I5" t="str">
            <v>IN</v>
          </cell>
          <cell r="J5">
            <v>0.34652777777777777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RW0204008111</v>
          </cell>
          <cell r="B6" t="str">
            <v>0014160176</v>
          </cell>
          <cell r="C6" t="str">
            <v>BASUDEO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TSP/882817/0226</v>
          </cell>
          <cell r="I6" t="str">
            <v>IN</v>
          </cell>
          <cell r="J6">
            <v>0.90664351851851854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RW0218129961</v>
          </cell>
          <cell r="B7" t="str">
            <v>0009178144</v>
          </cell>
          <cell r="C7" t="str">
            <v>APURBA KUMAR MAHATO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TSP/882824/0226</v>
          </cell>
          <cell r="I7" t="str">
            <v>IN</v>
          </cell>
          <cell r="J7">
            <v>0.33922453703703703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RW0305045827</v>
          </cell>
          <cell r="B8" t="str">
            <v>0009244505</v>
          </cell>
          <cell r="C8" t="str">
            <v>LAXMAN BHADUK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TSP/882818/0226</v>
          </cell>
          <cell r="I8" t="str">
            <v>IN</v>
          </cell>
          <cell r="J8">
            <v>0.2429513888888889</v>
          </cell>
          <cell r="K8" t="str">
            <v>PH#4 CHP CONTROL ROOM IN2</v>
          </cell>
          <cell r="L8" t="str">
            <v>JSR - Tata Steel Ltd</v>
          </cell>
        </row>
        <row r="9">
          <cell r="A9" t="str">
            <v>RW0403000921</v>
          </cell>
          <cell r="B9" t="str">
            <v>0004082771</v>
          </cell>
          <cell r="C9" t="str">
            <v>MANMOHAN PRASAD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TSP/882813/0226</v>
          </cell>
          <cell r="I9" t="str">
            <v>IN</v>
          </cell>
          <cell r="J9">
            <v>0.35678240740740735</v>
          </cell>
          <cell r="K9" t="str">
            <v>RDCRMTLAB-IN</v>
          </cell>
          <cell r="L9" t="str">
            <v>JSR - Tata Steel Ltd</v>
          </cell>
        </row>
        <row r="10">
          <cell r="A10" t="str">
            <v>RW0512133959</v>
          </cell>
          <cell r="B10" t="str">
            <v>0013643899</v>
          </cell>
          <cell r="C10" t="str">
            <v>SUJIT KUMAR SINGH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TSP/882814/0226</v>
          </cell>
          <cell r="I10" t="str">
            <v>IN</v>
          </cell>
          <cell r="J10">
            <v>0.36138888888888893</v>
          </cell>
          <cell r="K10" t="str">
            <v>FMM CP&amp;EMS IN</v>
          </cell>
          <cell r="L10" t="str">
            <v>JSR - Tata Steel Ltd</v>
          </cell>
        </row>
        <row r="11">
          <cell r="A11" t="str">
            <v>RW0608113053</v>
          </cell>
          <cell r="B11" t="str">
            <v>0009203758</v>
          </cell>
          <cell r="C11" t="str">
            <v>RAJESH PRADHAN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TSP/882826/0226</v>
          </cell>
          <cell r="I11" t="str">
            <v>IN</v>
          </cell>
          <cell r="J11">
            <v>0.34631944444444446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RW0611151520</v>
          </cell>
          <cell r="B12" t="str">
            <v>0009221948</v>
          </cell>
          <cell r="C12" t="str">
            <v>V RAJA RAO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TSP/824617/0126</v>
          </cell>
          <cell r="I12" t="str">
            <v>IN</v>
          </cell>
          <cell r="J12">
            <v>0.34576388888888893</v>
          </cell>
          <cell r="K12" t="str">
            <v>LIME PLANT OLD TRIPPLER IN</v>
          </cell>
          <cell r="L12" t="str">
            <v>JSR - Tata Steel Ltd</v>
          </cell>
        </row>
        <row r="13">
          <cell r="A13" t="str">
            <v>RW0621276455</v>
          </cell>
          <cell r="B13" t="str">
            <v>0014164901</v>
          </cell>
          <cell r="C13" t="str">
            <v>SUBHANDU MANDAL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TSP/882821/0226</v>
          </cell>
          <cell r="I13" t="str">
            <v>IN</v>
          </cell>
          <cell r="J13">
            <v>0.35839120370370375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RW0623791155</v>
          </cell>
          <cell r="B14" t="str">
            <v>0009230149</v>
          </cell>
          <cell r="C14" t="str">
            <v>TATA VANKAT RAO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TSP/882815/0226</v>
          </cell>
          <cell r="I14" t="str">
            <v>IN</v>
          </cell>
          <cell r="J14">
            <v>0.8963078703703703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RW0807096365</v>
          </cell>
          <cell r="B15" t="str">
            <v>0009286626</v>
          </cell>
          <cell r="C15" t="str">
            <v>NIPEN CHANDRA SUKUL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TSP/882843/0226</v>
          </cell>
          <cell r="I15" t="str">
            <v>IN</v>
          </cell>
          <cell r="J15">
            <v>0.32805555555555554</v>
          </cell>
          <cell r="K15" t="str">
            <v>AF SGP IN</v>
          </cell>
          <cell r="L15" t="str">
            <v>JSR - Tata Steel Ltd</v>
          </cell>
        </row>
        <row r="16">
          <cell r="A16" t="str">
            <v>RW0822573453</v>
          </cell>
          <cell r="B16" t="str">
            <v>0014187726</v>
          </cell>
          <cell r="C16" t="str">
            <v>RATAN MAHATO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TSP/882839/0226</v>
          </cell>
          <cell r="I16" t="str">
            <v>IN</v>
          </cell>
          <cell r="J16">
            <v>0.31638888888888889</v>
          </cell>
          <cell r="K16" t="str">
            <v>FMM CP&amp;EMS IN</v>
          </cell>
          <cell r="L16" t="str">
            <v>JSR - Tata Steel Ltd</v>
          </cell>
        </row>
        <row r="17">
          <cell r="A17" t="str">
            <v>RW0907097796</v>
          </cell>
          <cell r="B17" t="str">
            <v>0013604685</v>
          </cell>
          <cell r="C17" t="str">
            <v>ASHOK ROY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TSP/882823/0226</v>
          </cell>
          <cell r="I17" t="str">
            <v>IN</v>
          </cell>
          <cell r="J17">
            <v>0.35006944444444449</v>
          </cell>
          <cell r="K17" t="str">
            <v>PH#4 CHP CONTROL ROOM IN 1</v>
          </cell>
          <cell r="L17" t="str">
            <v>JSR - Tata Steel Ltd</v>
          </cell>
        </row>
        <row r="18">
          <cell r="A18" t="str">
            <v>RW0911182377</v>
          </cell>
          <cell r="B18" t="str">
            <v>0014159469</v>
          </cell>
          <cell r="C18" t="str">
            <v>CHHOTU LOHRA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TSP/919171/0326</v>
          </cell>
          <cell r="I18" t="str">
            <v>IN</v>
          </cell>
          <cell r="J18">
            <v>0.3402546296296296</v>
          </cell>
          <cell r="K18" t="str">
            <v>FMM CP&amp;EMS IN</v>
          </cell>
          <cell r="L18" t="str">
            <v>JSR - Tata Steel Ltd</v>
          </cell>
        </row>
        <row r="19">
          <cell r="A19" t="str">
            <v>RW1011186925</v>
          </cell>
          <cell r="B19" t="str">
            <v>0009171074</v>
          </cell>
          <cell r="C19" t="str">
            <v>ANIL KUMAR VERMA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TSP/919172/0326</v>
          </cell>
          <cell r="I19" t="str">
            <v>IN</v>
          </cell>
          <cell r="J19">
            <v>0.35443287037037036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RW1019191001</v>
          </cell>
          <cell r="B20" t="str">
            <v>0009169997</v>
          </cell>
          <cell r="C20" t="str">
            <v>CHITARANJAN SHARMA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TSP/886965/0326</v>
          </cell>
          <cell r="I20" t="str">
            <v>IN</v>
          </cell>
          <cell r="J20">
            <v>0.34012731481481479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RW1103005471</v>
          </cell>
          <cell r="B21" t="str">
            <v>0014173748</v>
          </cell>
          <cell r="C21" t="str">
            <v>NASIR ALI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TSP/882811/0226</v>
          </cell>
          <cell r="I21" t="str">
            <v>IN</v>
          </cell>
          <cell r="J21">
            <v>0.33696759259259257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RW1103006020</v>
          </cell>
          <cell r="B22" t="str">
            <v>0014158133</v>
          </cell>
          <cell r="C22" t="str">
            <v>BRAHMANAND MAHAPATRA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TSP/852300/0226</v>
          </cell>
          <cell r="I22" t="str">
            <v>IN</v>
          </cell>
          <cell r="J22">
            <v>0.57468750000000002</v>
          </cell>
          <cell r="K22" t="str">
            <v>M/C OUT SIDE TOOL ROOM IN</v>
          </cell>
          <cell r="L22" t="str">
            <v>JSR - Tata Steel Ltd</v>
          </cell>
        </row>
        <row r="23">
          <cell r="A23" t="str">
            <v>RW1110162302</v>
          </cell>
          <cell r="B23" t="str">
            <v>0013556522</v>
          </cell>
          <cell r="C23" t="str">
            <v>CHITTA RANJAN MAHATO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TSP/882812/0226</v>
          </cell>
          <cell r="I23" t="str">
            <v>IN</v>
          </cell>
          <cell r="J23">
            <v>0.33274305555555556</v>
          </cell>
          <cell r="K23" t="str">
            <v>PH#4 CHP CONTROL ROOM IN2</v>
          </cell>
          <cell r="L23" t="str">
            <v>JSR - Tata Steel Ltd</v>
          </cell>
        </row>
        <row r="24">
          <cell r="A24" t="str">
            <v>RW1110162302</v>
          </cell>
          <cell r="B24" t="str">
            <v>0013556522</v>
          </cell>
          <cell r="C24" t="str">
            <v>CHITTA RANJAN MAHATO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TSP/882812/0226</v>
          </cell>
          <cell r="I24" t="str">
            <v>IN</v>
          </cell>
          <cell r="J24">
            <v>0.34853009259259254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RW1204027584</v>
          </cell>
          <cell r="B25" t="str">
            <v>0009234884</v>
          </cell>
          <cell r="C25" t="str">
            <v>BALVINDAR SINGH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TSP/868846/0226</v>
          </cell>
          <cell r="I25" t="str">
            <v>IN</v>
          </cell>
          <cell r="J25">
            <v>0.34366898148148151</v>
          </cell>
          <cell r="K25" t="str">
            <v>AGENCY-SEC-BIOMETRIC -READER-8(PH#3)- IN</v>
          </cell>
          <cell r="L25" t="str">
            <v>JSR - Tata Steel Ltd</v>
          </cell>
        </row>
        <row r="26">
          <cell r="A26" t="str">
            <v>RW1223956402</v>
          </cell>
          <cell r="B26" t="str">
            <v>0009014911</v>
          </cell>
          <cell r="C26" t="str">
            <v>KARAN KUMAR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TSP/882822/0226</v>
          </cell>
          <cell r="I26" t="str">
            <v>IN</v>
          </cell>
          <cell r="J26">
            <v>0.35136574074074073</v>
          </cell>
          <cell r="K26" t="str">
            <v>PH#4 CHP CONTROL ROOM IN2</v>
          </cell>
          <cell r="L26" t="str">
            <v>JSR - Tata Steel Ltd</v>
          </cell>
        </row>
        <row r="27">
          <cell r="A27" t="str">
            <v>VD0722561172</v>
          </cell>
          <cell r="B27" t="str">
            <v>0000117476</v>
          </cell>
          <cell r="C27" t="str">
            <v>RUPESH KUMAR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TSP/882819/0226</v>
          </cell>
          <cell r="I27" t="str">
            <v>IN</v>
          </cell>
          <cell r="J27">
            <v>0.77471064814814816</v>
          </cell>
          <cell r="K27" t="str">
            <v>AGENCY-SEC-BIOMETRIC -READER-8(PH#3)- IN</v>
          </cell>
          <cell r="L27" t="str">
            <v>JSR - Tata Steel Ltd</v>
          </cell>
        </row>
        <row r="28">
          <cell r="A28" t="str">
            <v>VW0123649596</v>
          </cell>
          <cell r="B28" t="str">
            <v>0009241248</v>
          </cell>
          <cell r="C28" t="str">
            <v>ABHISHEK BIRULI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TSP/882827/0226</v>
          </cell>
          <cell r="I28" t="str">
            <v>IN</v>
          </cell>
          <cell r="J28">
            <v>0.34961805555555553</v>
          </cell>
          <cell r="K28" t="str">
            <v>AGENCY-SEC-BIOMETRIC -READER-9(PH#3)- IN</v>
          </cell>
          <cell r="L28" t="str">
            <v>JSR - Tata Steel Ltd</v>
          </cell>
        </row>
        <row r="29">
          <cell r="A29" t="str">
            <v>VW0123657591</v>
          </cell>
          <cell r="B29" t="str">
            <v>0013566588</v>
          </cell>
          <cell r="C29" t="str">
            <v>HINDU BESRA</v>
          </cell>
          <cell r="D29" t="str">
            <v>B445</v>
          </cell>
          <cell r="E29" t="str">
            <v>BECO ENGINEERS</v>
          </cell>
          <cell r="F29" t="str">
            <v>FM MECH-INFRA</v>
          </cell>
          <cell r="G29">
            <v>4700150601</v>
          </cell>
          <cell r="H29" t="str">
            <v>TSP/882841/0226</v>
          </cell>
          <cell r="I29" t="str">
            <v>IN</v>
          </cell>
          <cell r="J29">
            <v>0.3220486111111111</v>
          </cell>
          <cell r="K29" t="str">
            <v>AGENCY-SEC-BIOMETRIC -READER-9(PH#3)- IN</v>
          </cell>
          <cell r="L29" t="str">
            <v>JSR - Tata Steel Ltd</v>
          </cell>
        </row>
      </sheetData>
      <sheetData sheetId="1"/>
      <sheetData sheetId="2">
        <row r="4">
          <cell r="A4" t="str">
            <v>JW0724246971</v>
          </cell>
          <cell r="B4">
            <v>0.73091435185185183</v>
          </cell>
        </row>
        <row r="5">
          <cell r="A5" t="str">
            <v>RD0918134974</v>
          </cell>
          <cell r="B5">
            <v>0.25133101851851852</v>
          </cell>
        </row>
        <row r="6">
          <cell r="A6" t="str">
            <v>RD1203000744</v>
          </cell>
          <cell r="B6">
            <v>0.79210648148148144</v>
          </cell>
        </row>
        <row r="7">
          <cell r="A7" t="str">
            <v>RS0604000979</v>
          </cell>
          <cell r="B7">
            <v>0.58663194444444444</v>
          </cell>
        </row>
        <row r="8">
          <cell r="A8" t="str">
            <v>RW0105038642</v>
          </cell>
          <cell r="B8">
            <v>0.73093750000000002</v>
          </cell>
        </row>
        <row r="9">
          <cell r="A9" t="str">
            <v>RW0204008111</v>
          </cell>
          <cell r="B9">
            <v>0.25195601851851851</v>
          </cell>
        </row>
        <row r="10">
          <cell r="A10" t="str">
            <v>RW0218129961</v>
          </cell>
          <cell r="B10">
            <v>0.72633101851851845</v>
          </cell>
        </row>
        <row r="11">
          <cell r="A11" t="str">
            <v>RW0305045827</v>
          </cell>
          <cell r="B11">
            <v>0.70848379629629632</v>
          </cell>
        </row>
        <row r="12">
          <cell r="A12" t="str">
            <v>RW0403000921</v>
          </cell>
          <cell r="B12">
            <v>0.73016203703703697</v>
          </cell>
        </row>
        <row r="13">
          <cell r="A13" t="str">
            <v>RW0512133959</v>
          </cell>
          <cell r="B13">
            <v>0.73090277777777779</v>
          </cell>
        </row>
        <row r="14">
          <cell r="A14" t="str">
            <v>RW0608113053</v>
          </cell>
          <cell r="B14">
            <v>0.72969907407407408</v>
          </cell>
        </row>
        <row r="15">
          <cell r="A15" t="str">
            <v>RW0611151520</v>
          </cell>
          <cell r="B15">
            <v>0.73203703703703704</v>
          </cell>
        </row>
        <row r="16">
          <cell r="A16" t="str">
            <v>RW0621276455</v>
          </cell>
          <cell r="B16">
            <v>0.73008101851851848</v>
          </cell>
        </row>
        <row r="17">
          <cell r="A17" t="str">
            <v>RW0807096365</v>
          </cell>
          <cell r="B17">
            <v>0.79180555555555554</v>
          </cell>
        </row>
        <row r="18">
          <cell r="A18" t="str">
            <v>RW0822573453</v>
          </cell>
          <cell r="B18">
            <v>0.70942129629629624</v>
          </cell>
        </row>
        <row r="19">
          <cell r="A19" t="str">
            <v>RW0907097796</v>
          </cell>
          <cell r="B19">
            <v>0.7299768518518519</v>
          </cell>
        </row>
        <row r="20">
          <cell r="A20" t="str">
            <v>RW0911182377</v>
          </cell>
          <cell r="B20">
            <v>0.73024305555555558</v>
          </cell>
        </row>
        <row r="21">
          <cell r="A21" t="str">
            <v>RW1011186925</v>
          </cell>
          <cell r="B21">
            <v>0.73038194444444438</v>
          </cell>
        </row>
        <row r="22">
          <cell r="A22" t="str">
            <v>RW1019191001</v>
          </cell>
          <cell r="B22">
            <v>0.73006944444444455</v>
          </cell>
        </row>
        <row r="23">
          <cell r="A23" t="str">
            <v>RW1103005471</v>
          </cell>
          <cell r="B23">
            <v>0.72979166666666673</v>
          </cell>
        </row>
        <row r="24">
          <cell r="A24" t="str">
            <v>RW1103006020</v>
          </cell>
          <cell r="B24">
            <v>0.91672453703703705</v>
          </cell>
        </row>
        <row r="25">
          <cell r="A25" t="str">
            <v>RW1110162302</v>
          </cell>
          <cell r="B25">
            <v>0.73100694444444436</v>
          </cell>
        </row>
        <row r="26">
          <cell r="A26" t="str">
            <v>RW1204027584</v>
          </cell>
          <cell r="B26">
            <v>0.83729166666666666</v>
          </cell>
        </row>
        <row r="27">
          <cell r="A27" t="str">
            <v>RW1223956402</v>
          </cell>
          <cell r="B27">
            <v>0.72986111111111107</v>
          </cell>
        </row>
        <row r="28">
          <cell r="A28" t="str">
            <v>VD0722561172</v>
          </cell>
          <cell r="B28">
            <v>0.25178240740740737</v>
          </cell>
        </row>
        <row r="29">
          <cell r="A29" t="str">
            <v>VW0123649596</v>
          </cell>
          <cell r="B29">
            <v>0.72946759259259253</v>
          </cell>
        </row>
        <row r="30">
          <cell r="A30" t="str">
            <v>VW0123657591</v>
          </cell>
          <cell r="B30">
            <v>0.7095717592592593</v>
          </cell>
        </row>
        <row r="31">
          <cell r="A31" t="str">
            <v>(blank)</v>
          </cell>
        </row>
        <row r="32">
          <cell r="A32" t="str">
            <v>Grand Total</v>
          </cell>
          <cell r="B32">
            <v>0.91672453703703705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0.34797453703703707</v>
          </cell>
          <cell r="K2" t="str">
            <v>AGENCY-SEC-BIOMETRIC -READER-9(PH#3)-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0.78090277777777783</v>
          </cell>
          <cell r="K3" t="str">
            <v>AGENCY-SEC-BIOMETRIC -READER-9(PH#3)- IN</v>
          </cell>
          <cell r="L3" t="str">
            <v>JSR - Tata Steel Ltd</v>
          </cell>
        </row>
        <row r="4">
          <cell r="A4" t="str">
            <v>RD1203000744</v>
          </cell>
          <cell r="B4" t="str">
            <v>0004529569</v>
          </cell>
          <cell r="C4" t="str">
            <v>RAJU KALINDI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TSP/868847/0226</v>
          </cell>
          <cell r="I4" t="str">
            <v>IN</v>
          </cell>
          <cell r="J4">
            <v>0.33946759259259257</v>
          </cell>
          <cell r="K4" t="str">
            <v>AF SGP IN</v>
          </cell>
          <cell r="L4" t="str">
            <v>JSR - Tata Steel Ltd</v>
          </cell>
        </row>
        <row r="5">
          <cell r="A5" t="str">
            <v>RS0604000979</v>
          </cell>
          <cell r="B5" t="str">
            <v>0013594906</v>
          </cell>
          <cell r="C5" t="str">
            <v>RAKESH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TSP/882842/0226</v>
          </cell>
          <cell r="I5" t="str">
            <v>IN</v>
          </cell>
          <cell r="J5">
            <v>0.24542824074074074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0.3475347222222222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RW0204008111</v>
          </cell>
          <cell r="B7" t="str">
            <v>0014160176</v>
          </cell>
          <cell r="C7" t="str">
            <v>BASUDEO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TSP/882817/0226</v>
          </cell>
          <cell r="I7" t="str">
            <v>IN</v>
          </cell>
          <cell r="J7">
            <v>0.90645833333333325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RW0218129961</v>
          </cell>
          <cell r="B8" t="str">
            <v>0009178144</v>
          </cell>
          <cell r="C8" t="str">
            <v>APURBA KUMAR MAHATO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TSP/882824/0226</v>
          </cell>
          <cell r="I8" t="str">
            <v>IN</v>
          </cell>
          <cell r="J8">
            <v>0.33259259259259261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RW0305045827</v>
          </cell>
          <cell r="B9" t="str">
            <v>0009244505</v>
          </cell>
          <cell r="C9" t="str">
            <v>LAXMAN BHADUK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TSP/882818/0226</v>
          </cell>
          <cell r="I9" t="str">
            <v>IN</v>
          </cell>
          <cell r="J9">
            <v>0.24302083333333332</v>
          </cell>
          <cell r="K9" t="str">
            <v>PH#4 CHP CONTROL ROOM IN2</v>
          </cell>
          <cell r="L9" t="str">
            <v>JSR - Tata Steel Ltd</v>
          </cell>
        </row>
        <row r="10">
          <cell r="A10" t="str">
            <v>RW0403000921</v>
          </cell>
          <cell r="B10" t="str">
            <v>0004082771</v>
          </cell>
          <cell r="C10" t="str">
            <v>MANMOHAN PRASAD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TSP/882813/0226</v>
          </cell>
          <cell r="I10" t="str">
            <v>IN</v>
          </cell>
          <cell r="J10">
            <v>0.35638888888888887</v>
          </cell>
          <cell r="K10" t="str">
            <v>RDCRMTLAB-IN</v>
          </cell>
          <cell r="L10" t="str">
            <v>JSR - Tata Steel Ltd</v>
          </cell>
        </row>
        <row r="11">
          <cell r="A11" t="str">
            <v>RW0512133959</v>
          </cell>
          <cell r="B11" t="str">
            <v>0013643899</v>
          </cell>
          <cell r="C11" t="str">
            <v>SUJIT KUMAR SINGH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TSP/882814/0226</v>
          </cell>
          <cell r="I11" t="str">
            <v>IN</v>
          </cell>
          <cell r="J11">
            <v>0.34962962962962968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RW0608113053</v>
          </cell>
          <cell r="B12" t="str">
            <v>0009203758</v>
          </cell>
          <cell r="C12" t="str">
            <v>RAJESH PRADHAN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TSP/882826/0226</v>
          </cell>
          <cell r="I12" t="str">
            <v>IN</v>
          </cell>
          <cell r="J12">
            <v>0.32925925925925925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RW0611151520</v>
          </cell>
          <cell r="B13" t="str">
            <v>0009221948</v>
          </cell>
          <cell r="C13" t="str">
            <v>V RAJA RAO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TSP/824617/0126</v>
          </cell>
          <cell r="I13" t="str">
            <v>IN</v>
          </cell>
          <cell r="J13">
            <v>0.34843750000000001</v>
          </cell>
          <cell r="K13" t="str">
            <v>LIME PLANT OLD TRIPPLER IN</v>
          </cell>
          <cell r="L13" t="str">
            <v>JSR - Tata Steel Ltd</v>
          </cell>
        </row>
        <row r="14">
          <cell r="A14" t="str">
            <v>RW0621276455</v>
          </cell>
          <cell r="B14" t="str">
            <v>0014164901</v>
          </cell>
          <cell r="C14" t="str">
            <v>SUBHANDU MANDAL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TSP/882821/0226</v>
          </cell>
          <cell r="I14" t="str">
            <v>IN</v>
          </cell>
          <cell r="J14">
            <v>0.35295138888888888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RW0623791155</v>
          </cell>
          <cell r="B15" t="str">
            <v>0009230149</v>
          </cell>
          <cell r="C15" t="str">
            <v>TATA VANKAT RAO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TSP/882815/0226</v>
          </cell>
          <cell r="I15" t="str">
            <v>IN</v>
          </cell>
          <cell r="J15">
            <v>0.8957060185185185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RW0822573453</v>
          </cell>
          <cell r="B16" t="str">
            <v>0014187726</v>
          </cell>
          <cell r="C16" t="str">
            <v>RATAN MAHATO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TSP/882839/0226</v>
          </cell>
          <cell r="I16" t="str">
            <v>IN</v>
          </cell>
          <cell r="J16">
            <v>0.31460648148148146</v>
          </cell>
          <cell r="K16" t="str">
            <v>Engineering services main office IN</v>
          </cell>
          <cell r="L16" t="str">
            <v>JSR - Tata Steel Ltd</v>
          </cell>
        </row>
        <row r="17">
          <cell r="A17" t="str">
            <v>RW0822573453</v>
          </cell>
          <cell r="B17" t="str">
            <v>0014187726</v>
          </cell>
          <cell r="C17" t="str">
            <v>RATAN MAHATO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TSP/882839/0226</v>
          </cell>
          <cell r="I17" t="str">
            <v>IN</v>
          </cell>
          <cell r="J17">
            <v>0.32843749999999999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RW0907097796</v>
          </cell>
          <cell r="B18" t="str">
            <v>0013604685</v>
          </cell>
          <cell r="C18" t="str">
            <v>ASHOK ROY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TSP/882823/0226</v>
          </cell>
          <cell r="I18" t="str">
            <v>IN</v>
          </cell>
          <cell r="J18">
            <v>0.3482986111111111</v>
          </cell>
          <cell r="K18" t="str">
            <v>PH#4 CHP CONTROL ROOM IN 1</v>
          </cell>
          <cell r="L18" t="str">
            <v>JSR - Tata Steel Ltd</v>
          </cell>
        </row>
        <row r="19">
          <cell r="A19" t="str">
            <v>RW0911182377</v>
          </cell>
          <cell r="B19" t="str">
            <v>0014159469</v>
          </cell>
          <cell r="C19" t="str">
            <v>CHHOTU LOHRA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TSP/919171/0326</v>
          </cell>
          <cell r="I19" t="str">
            <v>IN</v>
          </cell>
          <cell r="J19">
            <v>0.33658564814814818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RW0911183405</v>
          </cell>
          <cell r="B20" t="str">
            <v>0009273370</v>
          </cell>
          <cell r="C20" t="str">
            <v>M NARAYAN RAO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TSP/886966/0326</v>
          </cell>
          <cell r="I20" t="str">
            <v>IN</v>
          </cell>
          <cell r="J20">
            <v>0.57630787037037035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RW1011186925</v>
          </cell>
          <cell r="B21" t="str">
            <v>0009171074</v>
          </cell>
          <cell r="C21" t="str">
            <v>ANIL KUMAR VERMA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TSP/919172/0326</v>
          </cell>
          <cell r="I21" t="str">
            <v>IN</v>
          </cell>
          <cell r="J21">
            <v>0.35107638888888887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RW1019191001</v>
          </cell>
          <cell r="B22" t="str">
            <v>0009169997</v>
          </cell>
          <cell r="C22" t="str">
            <v>CHITARANJAN SHARMA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TSP/886965/0326</v>
          </cell>
          <cell r="I22" t="str">
            <v>IN</v>
          </cell>
          <cell r="J22">
            <v>0.3364583333333333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RW1103006020</v>
          </cell>
          <cell r="B23" t="str">
            <v>0014158133</v>
          </cell>
          <cell r="C23" t="str">
            <v>BRAHMANAND MAHAPATRA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TSP/852300/0226</v>
          </cell>
          <cell r="I23" t="str">
            <v>IN</v>
          </cell>
          <cell r="J23">
            <v>0.57545138888888892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RW1110162302</v>
          </cell>
          <cell r="B24" t="str">
            <v>0013556522</v>
          </cell>
          <cell r="C24" t="str">
            <v>CHITTA RANJAN MAHATO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TSP/882812/0226</v>
          </cell>
          <cell r="I24" t="str">
            <v>IN</v>
          </cell>
          <cell r="J24">
            <v>0.34069444444444441</v>
          </cell>
          <cell r="K24" t="str">
            <v>PH#4 CHP CONTROL ROOM IN2</v>
          </cell>
          <cell r="L24" t="str">
            <v>JSR - Tata Steel Ltd</v>
          </cell>
        </row>
        <row r="25">
          <cell r="A25" t="str">
            <v>RW1204027584</v>
          </cell>
          <cell r="B25" t="str">
            <v>0009234884</v>
          </cell>
          <cell r="C25" t="str">
            <v>BALVINDAR SINGH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TSP/868846/0226</v>
          </cell>
          <cell r="I25" t="str">
            <v>IN</v>
          </cell>
          <cell r="J25">
            <v>0.3600694444444445</v>
          </cell>
          <cell r="K25" t="str">
            <v>FMM CP&amp;EMS IN</v>
          </cell>
          <cell r="L25" t="str">
            <v>JSR - Tata Steel Ltd</v>
          </cell>
        </row>
        <row r="26">
          <cell r="A26" t="str">
            <v>RW1223956402</v>
          </cell>
          <cell r="B26" t="str">
            <v>0009014911</v>
          </cell>
          <cell r="C26" t="str">
            <v>KARAN KUMAR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TSP/882822/0226</v>
          </cell>
          <cell r="I26" t="str">
            <v>IN</v>
          </cell>
          <cell r="J26">
            <v>0.35614583333333333</v>
          </cell>
          <cell r="K26" t="str">
            <v>PH#4 CHP CONTROL ROOM IN2</v>
          </cell>
          <cell r="L26" t="str">
            <v>JSR - Tata Steel Ltd</v>
          </cell>
        </row>
        <row r="27">
          <cell r="A27" t="str">
            <v>VD0722561172</v>
          </cell>
          <cell r="B27" t="str">
            <v>0000117476</v>
          </cell>
          <cell r="C27" t="str">
            <v>RUPESH KUMAR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TSP/882819/0226</v>
          </cell>
          <cell r="I27" t="str">
            <v>IN</v>
          </cell>
          <cell r="J27">
            <v>0.77310185185185187</v>
          </cell>
          <cell r="K27" t="str">
            <v>AGENCY-SEC-BIOMETRIC -READER-8(PH#3)- IN</v>
          </cell>
          <cell r="L27" t="str">
            <v>JSR - Tata Steel Ltd</v>
          </cell>
        </row>
        <row r="28">
          <cell r="A28" t="str">
            <v>VW0123649596</v>
          </cell>
          <cell r="B28" t="str">
            <v>0009241248</v>
          </cell>
          <cell r="C28" t="str">
            <v>ABHISHEK BIRULI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TSP/882827/0226</v>
          </cell>
          <cell r="I28" t="str">
            <v>IN</v>
          </cell>
          <cell r="J28">
            <v>0.34675925925925927</v>
          </cell>
          <cell r="K28" t="str">
            <v>AGENCY-SEC-BIOMETRIC -READER-9(PH#3)- IN</v>
          </cell>
          <cell r="L28" t="str">
            <v>JSR - Tata Steel Ltd</v>
          </cell>
        </row>
        <row r="29">
          <cell r="A29" t="str">
            <v>VW0123657591</v>
          </cell>
          <cell r="B29" t="str">
            <v>0013566588</v>
          </cell>
          <cell r="C29" t="str">
            <v>HINDU BESRA</v>
          </cell>
          <cell r="D29" t="str">
            <v>B445</v>
          </cell>
          <cell r="E29" t="str">
            <v>BECO ENGINEERS</v>
          </cell>
          <cell r="F29" t="str">
            <v>FM MECH-INFRA</v>
          </cell>
          <cell r="G29">
            <v>4700150601</v>
          </cell>
          <cell r="H29" t="str">
            <v>TSP/882841/0226</v>
          </cell>
          <cell r="I29" t="str">
            <v>IN</v>
          </cell>
          <cell r="J29">
            <v>0.34921296296296295</v>
          </cell>
          <cell r="K29" t="str">
            <v>AGENCY-SEC-BIOMETRIC -READER-9(PH#3)- IN</v>
          </cell>
          <cell r="L29" t="str">
            <v>JSR - Tata Steel Ltd</v>
          </cell>
        </row>
      </sheetData>
      <sheetData sheetId="1">
        <row r="4">
          <cell r="A4" t="str">
            <v>JW0724246971</v>
          </cell>
          <cell r="B4">
            <v>0.72938657407407403</v>
          </cell>
        </row>
        <row r="5">
          <cell r="A5" t="str">
            <v>RD1203000744</v>
          </cell>
          <cell r="B5">
            <v>0.79502314814814812</v>
          </cell>
        </row>
        <row r="6">
          <cell r="A6" t="str">
            <v>RS0604000979</v>
          </cell>
          <cell r="B6">
            <v>0.5834259259259259</v>
          </cell>
        </row>
        <row r="7">
          <cell r="A7" t="str">
            <v>RW0105038642</v>
          </cell>
          <cell r="B7">
            <v>0.72968749999999993</v>
          </cell>
        </row>
        <row r="8">
          <cell r="A8" t="str">
            <v>RW0204008111</v>
          </cell>
          <cell r="B8">
            <v>0.25167824074074074</v>
          </cell>
        </row>
        <row r="9">
          <cell r="A9" t="str">
            <v>RW0218129961</v>
          </cell>
          <cell r="B9">
            <v>0.71313657407407405</v>
          </cell>
        </row>
        <row r="10">
          <cell r="A10" t="str">
            <v>RW0305045827</v>
          </cell>
          <cell r="B10">
            <v>0.70956018518518515</v>
          </cell>
        </row>
        <row r="11">
          <cell r="A11" t="str">
            <v>RW0403000921</v>
          </cell>
          <cell r="B11">
            <v>0.72923611111111108</v>
          </cell>
        </row>
        <row r="12">
          <cell r="A12" t="str">
            <v>RW0512133959</v>
          </cell>
          <cell r="B12">
            <v>0.72952546296296295</v>
          </cell>
        </row>
        <row r="13">
          <cell r="A13" t="str">
            <v>RW0608113053</v>
          </cell>
          <cell r="B13">
            <v>0.72980324074074077</v>
          </cell>
        </row>
        <row r="14">
          <cell r="A14" t="str">
            <v>RW0611151520</v>
          </cell>
          <cell r="B14">
            <v>0.72971064814814823</v>
          </cell>
        </row>
        <row r="15">
          <cell r="A15" t="str">
            <v>RW0621276455</v>
          </cell>
          <cell r="B15">
            <v>0.72995370370370372</v>
          </cell>
        </row>
        <row r="16">
          <cell r="A16" t="str">
            <v>RW0623791155</v>
          </cell>
          <cell r="B16">
            <v>0.25006944444444446</v>
          </cell>
        </row>
        <row r="17">
          <cell r="A17" t="str">
            <v>RW0822573453</v>
          </cell>
          <cell r="B17">
            <v>0.71107638888888891</v>
          </cell>
        </row>
        <row r="18">
          <cell r="A18" t="str">
            <v>RW0907097796</v>
          </cell>
          <cell r="B18">
            <v>0.72950231481481476</v>
          </cell>
        </row>
        <row r="19">
          <cell r="A19" t="str">
            <v>RW0911182377</v>
          </cell>
          <cell r="B19">
            <v>0.73101851851851851</v>
          </cell>
        </row>
        <row r="20">
          <cell r="A20" t="str">
            <v>RW0911183405</v>
          </cell>
          <cell r="B20">
            <v>0.91702546296296295</v>
          </cell>
        </row>
        <row r="21">
          <cell r="A21" t="str">
            <v>RW1011186925</v>
          </cell>
          <cell r="B21">
            <v>0.72922453703703705</v>
          </cell>
        </row>
        <row r="22">
          <cell r="A22" t="str">
            <v>RW1019191001</v>
          </cell>
          <cell r="B22">
            <v>0.73091435185185183</v>
          </cell>
        </row>
        <row r="23">
          <cell r="A23" t="str">
            <v>RW1103006020</v>
          </cell>
          <cell r="B23">
            <v>0.91733796296296299</v>
          </cell>
        </row>
        <row r="24">
          <cell r="A24" t="str">
            <v>RW1110162302</v>
          </cell>
          <cell r="B24">
            <v>0.73006944444444455</v>
          </cell>
        </row>
        <row r="25">
          <cell r="A25" t="str">
            <v>RW1204027584</v>
          </cell>
          <cell r="B25">
            <v>0.7298958333333333</v>
          </cell>
        </row>
        <row r="26">
          <cell r="A26" t="str">
            <v>RW1223956402</v>
          </cell>
          <cell r="B26">
            <v>0.73089120370370375</v>
          </cell>
        </row>
        <row r="27">
          <cell r="A27" t="str">
            <v>VD0722561172</v>
          </cell>
          <cell r="B27">
            <v>0.25208333333333333</v>
          </cell>
        </row>
        <row r="28">
          <cell r="A28" t="str">
            <v>VW0123649596</v>
          </cell>
          <cell r="B28">
            <v>0.72987268518518522</v>
          </cell>
        </row>
        <row r="29">
          <cell r="A29" t="str">
            <v>VW0123657591</v>
          </cell>
          <cell r="B29">
            <v>0.71120370370370367</v>
          </cell>
        </row>
        <row r="30">
          <cell r="A30" t="str">
            <v>(blank)</v>
          </cell>
        </row>
        <row r="31">
          <cell r="A31" t="str">
            <v>Grand Total</v>
          </cell>
          <cell r="B31">
            <v>0.91733796296296299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0.3376736111111111</v>
          </cell>
          <cell r="K2" t="str">
            <v>AGENCY-SEC-BIOMETRIC -READER-9(PH#3)-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0.78581018518518519</v>
          </cell>
          <cell r="K3" t="str">
            <v>FMM CP&amp;EMS IN</v>
          </cell>
          <cell r="L3" t="str">
            <v>JSR - Tata Steel Ltd</v>
          </cell>
        </row>
        <row r="4">
          <cell r="A4" t="str">
            <v>RD1203000744</v>
          </cell>
          <cell r="B4" t="str">
            <v>0004529569</v>
          </cell>
          <cell r="C4" t="str">
            <v>RAJU KALINDI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TSP/868847/0226</v>
          </cell>
          <cell r="I4" t="str">
            <v>IN</v>
          </cell>
          <cell r="J4">
            <v>0.34054398148148146</v>
          </cell>
          <cell r="K4" t="str">
            <v>AF SGP IN</v>
          </cell>
          <cell r="L4" t="str">
            <v>JSR - Tata Steel Ltd</v>
          </cell>
        </row>
        <row r="5">
          <cell r="A5" t="str">
            <v>RS0604000979</v>
          </cell>
          <cell r="B5" t="str">
            <v>0013594906</v>
          </cell>
          <cell r="C5" t="str">
            <v>RAKESH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TSP/882842/0226</v>
          </cell>
          <cell r="I5" t="str">
            <v>IN</v>
          </cell>
          <cell r="J5">
            <v>0.56619212962962961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0.34819444444444447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RW0204008111</v>
          </cell>
          <cell r="B7" t="str">
            <v>0014160176</v>
          </cell>
          <cell r="C7" t="str">
            <v>BASUDEO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TSP/882817/0226</v>
          </cell>
          <cell r="I7" t="str">
            <v>IN</v>
          </cell>
          <cell r="J7">
            <v>0.90587962962962953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RW0218129961</v>
          </cell>
          <cell r="B8" t="str">
            <v>0009178144</v>
          </cell>
          <cell r="C8" t="str">
            <v>APURBA KUMAR MAHATO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TSP/882824/0226</v>
          </cell>
          <cell r="I8" t="str">
            <v>IN</v>
          </cell>
          <cell r="J8">
            <v>0.32978009259259261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RW0305045827</v>
          </cell>
          <cell r="B9" t="str">
            <v>0009244505</v>
          </cell>
          <cell r="C9" t="str">
            <v>LAXMAN BHADUK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TSP/882818/0226</v>
          </cell>
          <cell r="I9" t="str">
            <v>IN</v>
          </cell>
          <cell r="J9">
            <v>0.24084490740740741</v>
          </cell>
          <cell r="K9" t="str">
            <v>PH#4 CHP CONTROL ROOM IN2</v>
          </cell>
          <cell r="L9" t="str">
            <v>JSR - Tata Steel Ltd</v>
          </cell>
        </row>
        <row r="10">
          <cell r="A10" t="str">
            <v>RW0403000921</v>
          </cell>
          <cell r="B10" t="str">
            <v>0004082771</v>
          </cell>
          <cell r="C10" t="str">
            <v>MANMOHAN PRASAD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TSP/882813/0226</v>
          </cell>
          <cell r="I10" t="str">
            <v>IN</v>
          </cell>
          <cell r="J10">
            <v>0.35591435185185188</v>
          </cell>
          <cell r="K10" t="str">
            <v>RDCRMTLAB-IN</v>
          </cell>
          <cell r="L10" t="str">
            <v>JSR - Tata Steel Ltd</v>
          </cell>
        </row>
        <row r="11">
          <cell r="A11" t="str">
            <v>RW0512133959</v>
          </cell>
          <cell r="B11" t="str">
            <v>0013643899</v>
          </cell>
          <cell r="C11" t="str">
            <v>SUJIT KUMAR SINGH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TSP/882814/0226</v>
          </cell>
          <cell r="I11" t="str">
            <v>IN</v>
          </cell>
          <cell r="J11">
            <v>0.35009259259259262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RW0608113053</v>
          </cell>
          <cell r="B12" t="str">
            <v>0009203758</v>
          </cell>
          <cell r="C12" t="str">
            <v>RAJESH PRADHAN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TSP/882826/0226</v>
          </cell>
          <cell r="I12" t="str">
            <v>IN</v>
          </cell>
          <cell r="J12">
            <v>0.32954861111111111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RW0621276455</v>
          </cell>
          <cell r="B13" t="str">
            <v>0014164901</v>
          </cell>
          <cell r="C13" t="str">
            <v>SUBHANDU MANDAL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TSP/882821/0226</v>
          </cell>
          <cell r="I13" t="str">
            <v>IN</v>
          </cell>
          <cell r="J13">
            <v>0.34616898148148145</v>
          </cell>
          <cell r="K13" t="str">
            <v>AGENCY-SEC-BIOMETRIC -READER-9(PH#3)- IN</v>
          </cell>
          <cell r="L13" t="str">
            <v>JSR - Tata Steel Ltd</v>
          </cell>
        </row>
        <row r="14">
          <cell r="A14" t="str">
            <v>RW0723808557</v>
          </cell>
          <cell r="B14" t="str">
            <v>0014188176</v>
          </cell>
          <cell r="C14" t="str">
            <v>VISHAL HASDA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TSP/886967/0326</v>
          </cell>
          <cell r="I14" t="str">
            <v>IN</v>
          </cell>
          <cell r="J14">
            <v>0.24215277777777777</v>
          </cell>
          <cell r="K14" t="str">
            <v>PH#4 CHP CONTROL ROOM IN2</v>
          </cell>
          <cell r="L14" t="str">
            <v>JSR - Tata Steel Ltd</v>
          </cell>
        </row>
        <row r="15">
          <cell r="A15" t="str">
            <v>RW0807096365</v>
          </cell>
          <cell r="B15" t="str">
            <v>0009286626</v>
          </cell>
          <cell r="C15" t="str">
            <v>NIPEN CHANDRA SUKUL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TSP/882843/0226</v>
          </cell>
          <cell r="I15" t="str">
            <v>IN</v>
          </cell>
          <cell r="J15">
            <v>0.78878472222222218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RW0822573453</v>
          </cell>
          <cell r="B16" t="str">
            <v>0014187726</v>
          </cell>
          <cell r="C16" t="str">
            <v>RATAN MAHATO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TSP/882839/0226</v>
          </cell>
          <cell r="I16" t="str">
            <v>IN</v>
          </cell>
          <cell r="J16">
            <v>0.31805555555555554</v>
          </cell>
          <cell r="K16" t="str">
            <v>FMM CP&amp;EMS IN</v>
          </cell>
          <cell r="L16" t="str">
            <v>JSR - Tata Steel Ltd</v>
          </cell>
        </row>
        <row r="17">
          <cell r="A17" t="str">
            <v>RW0907097796</v>
          </cell>
          <cell r="B17" t="str">
            <v>0013604685</v>
          </cell>
          <cell r="C17" t="str">
            <v>ASHOK ROY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TSP/882823/0226</v>
          </cell>
          <cell r="I17" t="str">
            <v>IN</v>
          </cell>
          <cell r="J17">
            <v>0.34814814814814815</v>
          </cell>
          <cell r="K17" t="str">
            <v>PH#4 CHP CONTROL ROOM IN 1</v>
          </cell>
          <cell r="L17" t="str">
            <v>JSR - Tata Steel Ltd</v>
          </cell>
        </row>
        <row r="18">
          <cell r="A18" t="str">
            <v>RW0911182377</v>
          </cell>
          <cell r="B18" t="str">
            <v>0014159469</v>
          </cell>
          <cell r="C18" t="str">
            <v>CHHOTU LOHRA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TSP/919171/0326</v>
          </cell>
          <cell r="I18" t="str">
            <v>IN</v>
          </cell>
          <cell r="J18">
            <v>0.33682870370370371</v>
          </cell>
          <cell r="K18" t="str">
            <v>FMM CP&amp;EMS IN</v>
          </cell>
          <cell r="L18" t="str">
            <v>JSR - Tata Steel Ltd</v>
          </cell>
        </row>
        <row r="19">
          <cell r="A19" t="str">
            <v>RW0911183405</v>
          </cell>
          <cell r="B19" t="str">
            <v>0009273370</v>
          </cell>
          <cell r="C19" t="str">
            <v>M NARAYAN RAO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TSP/886966/0326</v>
          </cell>
          <cell r="I19" t="str">
            <v>IN</v>
          </cell>
          <cell r="J19">
            <v>0.56542824074074072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RW1011186925</v>
          </cell>
          <cell r="B20" t="str">
            <v>0009171074</v>
          </cell>
          <cell r="C20" t="str">
            <v>ANIL KUMAR VERMA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TSP/919172/0326</v>
          </cell>
          <cell r="I20" t="str">
            <v>IN</v>
          </cell>
          <cell r="J20">
            <v>0.34792824074074075</v>
          </cell>
          <cell r="K20" t="str">
            <v>M/C OUT SIDE TOOL ROOM IN</v>
          </cell>
          <cell r="L20" t="str">
            <v>JSR - Tata Steel Ltd</v>
          </cell>
        </row>
        <row r="21">
          <cell r="A21" t="str">
            <v>RW1019191001</v>
          </cell>
          <cell r="B21" t="str">
            <v>0009169997</v>
          </cell>
          <cell r="C21" t="str">
            <v>CHITARANJAN SHARMA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TSP/886965/0326</v>
          </cell>
          <cell r="I21" t="str">
            <v>IN</v>
          </cell>
          <cell r="J21">
            <v>0.33666666666666667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RW1103005471</v>
          </cell>
          <cell r="B22" t="str">
            <v>0014173748</v>
          </cell>
          <cell r="C22" t="str">
            <v>NASIR ALI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TSP/882811/0226</v>
          </cell>
          <cell r="I22" t="str">
            <v>IN</v>
          </cell>
          <cell r="J22">
            <v>0.33710648148148148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RW1103006020</v>
          </cell>
          <cell r="B23" t="str">
            <v>0014158133</v>
          </cell>
          <cell r="C23" t="str">
            <v>BRAHMANAND MAHAPATRA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TSP/852300/0226</v>
          </cell>
          <cell r="I23" t="str">
            <v>IN</v>
          </cell>
          <cell r="J23">
            <v>0.24046296296296296</v>
          </cell>
          <cell r="K23" t="str">
            <v>PH#4 CHP CONTROL ROOM IN2</v>
          </cell>
          <cell r="L23" t="str">
            <v>JSR - Tata Steel Ltd</v>
          </cell>
        </row>
        <row r="24">
          <cell r="A24" t="str">
            <v>RW1110162302</v>
          </cell>
          <cell r="B24" t="str">
            <v>0013556522</v>
          </cell>
          <cell r="C24" t="str">
            <v>CHITTA RANJAN MAHATO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TSP/882812/0226</v>
          </cell>
          <cell r="I24" t="str">
            <v>IN</v>
          </cell>
          <cell r="J24">
            <v>0.33739583333333334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RW1204027584</v>
          </cell>
          <cell r="B25" t="str">
            <v>0009234884</v>
          </cell>
          <cell r="C25" t="str">
            <v>BALVINDAR SINGH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TSP/868846/0226</v>
          </cell>
          <cell r="I25" t="str">
            <v>IN</v>
          </cell>
          <cell r="J25">
            <v>0.36057870370370365</v>
          </cell>
          <cell r="K25" t="str">
            <v>FMM CP&amp;EMS IN</v>
          </cell>
          <cell r="L25" t="str">
            <v>JSR - Tata Steel Ltd</v>
          </cell>
        </row>
        <row r="26">
          <cell r="A26" t="str">
            <v>VW0123649596</v>
          </cell>
          <cell r="B26" t="str">
            <v>0009241248</v>
          </cell>
          <cell r="C26" t="str">
            <v>ABHISHEK BIRULI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TSP/882827/0226</v>
          </cell>
          <cell r="I26" t="str">
            <v>IN</v>
          </cell>
          <cell r="J26">
            <v>0.34479166666666666</v>
          </cell>
          <cell r="K26" t="str">
            <v>AGENCY-SEC-BIOMETRIC -READER-9(PH#3)- IN</v>
          </cell>
          <cell r="L26" t="str">
            <v>JSR - Tata Steel Ltd</v>
          </cell>
        </row>
        <row r="27">
          <cell r="A27" t="str">
            <v>VW0123657591</v>
          </cell>
          <cell r="B27" t="str">
            <v>0013566588</v>
          </cell>
          <cell r="C27" t="str">
            <v>HINDU BESRA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TSP/882841/0226</v>
          </cell>
          <cell r="I27" t="str">
            <v>IN</v>
          </cell>
          <cell r="J27">
            <v>0.32721064814814815</v>
          </cell>
          <cell r="K27" t="str">
            <v>AGENCY-SEC-BIOMETRIC -READER-8(PH#3)- IN</v>
          </cell>
          <cell r="L27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0.72973379629629631</v>
          </cell>
        </row>
        <row r="5">
          <cell r="A5" t="str">
            <v>RD0918134974</v>
          </cell>
          <cell r="B5">
            <v>0.25172453703703707</v>
          </cell>
        </row>
        <row r="6">
          <cell r="A6" t="str">
            <v>RD1203000744</v>
          </cell>
          <cell r="B6">
            <v>0.79178240740740735</v>
          </cell>
        </row>
        <row r="7">
          <cell r="A7" t="str">
            <v>RS0604000979</v>
          </cell>
          <cell r="B7">
            <v>0.91693287037037041</v>
          </cell>
        </row>
        <row r="8">
          <cell r="A8" t="str">
            <v>RW0105038642</v>
          </cell>
          <cell r="B8">
            <v>0.72991898148148149</v>
          </cell>
        </row>
        <row r="9">
          <cell r="A9" t="str">
            <v>RW0204008111</v>
          </cell>
          <cell r="B9">
            <v>0.25574074074074077</v>
          </cell>
        </row>
        <row r="10">
          <cell r="A10" t="str">
            <v>RW0218129961</v>
          </cell>
          <cell r="B10">
            <v>0.70909722222222227</v>
          </cell>
        </row>
        <row r="11">
          <cell r="A11" t="str">
            <v>RW0305045827</v>
          </cell>
          <cell r="B11">
            <v>0.70894675925925921</v>
          </cell>
        </row>
        <row r="12">
          <cell r="A12" t="str">
            <v>RW0403000921</v>
          </cell>
          <cell r="B12">
            <v>0.72938657407407403</v>
          </cell>
        </row>
        <row r="13">
          <cell r="A13" t="str">
            <v>RW0512133959</v>
          </cell>
          <cell r="B13">
            <v>0.72969907407407408</v>
          </cell>
        </row>
        <row r="14">
          <cell r="A14" t="str">
            <v>RW0608113053</v>
          </cell>
          <cell r="B14">
            <v>0.72931712962962969</v>
          </cell>
        </row>
        <row r="15">
          <cell r="A15" t="str">
            <v>RW0621276455</v>
          </cell>
          <cell r="B15">
            <v>0.72950231481481476</v>
          </cell>
        </row>
        <row r="16">
          <cell r="A16" t="str">
            <v>RW0623791155</v>
          </cell>
          <cell r="B16">
            <v>0.25008101851851855</v>
          </cell>
        </row>
        <row r="17">
          <cell r="A17" t="str">
            <v>RW0723808557</v>
          </cell>
          <cell r="B17">
            <v>0.58378472222222222</v>
          </cell>
        </row>
        <row r="18">
          <cell r="A18" t="str">
            <v>RW0822573453</v>
          </cell>
          <cell r="B18">
            <v>0.70858796296296289</v>
          </cell>
        </row>
        <row r="19">
          <cell r="A19" t="str">
            <v>RW0907097796</v>
          </cell>
          <cell r="B19">
            <v>0.72960648148148144</v>
          </cell>
        </row>
        <row r="20">
          <cell r="A20" t="str">
            <v>RW0911182377</v>
          </cell>
          <cell r="B20">
            <v>0.72954861111111102</v>
          </cell>
        </row>
        <row r="21">
          <cell r="A21" t="str">
            <v>RW0911183405</v>
          </cell>
          <cell r="B21">
            <v>0.92043981481481485</v>
          </cell>
        </row>
        <row r="22">
          <cell r="A22" t="str">
            <v>RW1011186925</v>
          </cell>
          <cell r="B22">
            <v>0.72961805555555559</v>
          </cell>
        </row>
        <row r="23">
          <cell r="A23" t="str">
            <v>RW1019191001</v>
          </cell>
          <cell r="B23">
            <v>0.72946759259259253</v>
          </cell>
        </row>
        <row r="24">
          <cell r="A24" t="str">
            <v>RW1103005471</v>
          </cell>
          <cell r="B24">
            <v>0.72958333333333336</v>
          </cell>
        </row>
        <row r="25">
          <cell r="A25" t="str">
            <v>RW1103006020</v>
          </cell>
          <cell r="B25">
            <v>0.58368055555555554</v>
          </cell>
        </row>
        <row r="26">
          <cell r="A26" t="str">
            <v>RW1110162302</v>
          </cell>
          <cell r="B26">
            <v>0.72993055555555564</v>
          </cell>
        </row>
        <row r="27">
          <cell r="A27" t="str">
            <v>RW1204027584</v>
          </cell>
          <cell r="B27">
            <v>0.73032407407407407</v>
          </cell>
        </row>
        <row r="28">
          <cell r="A28" t="str">
            <v>VD0722561172</v>
          </cell>
          <cell r="B28">
            <v>0.25199074074074074</v>
          </cell>
        </row>
        <row r="29">
          <cell r="A29" t="str">
            <v>VW0123649596</v>
          </cell>
          <cell r="B29">
            <v>0.72939814814814818</v>
          </cell>
        </row>
        <row r="30">
          <cell r="A30" t="str">
            <v>VW0123657591</v>
          </cell>
          <cell r="B30">
            <v>0.70826388888888892</v>
          </cell>
        </row>
        <row r="31">
          <cell r="A31" t="str">
            <v>(blank)</v>
          </cell>
        </row>
        <row r="32">
          <cell r="A32" t="str">
            <v>Grand Total</v>
          </cell>
          <cell r="B32">
            <v>0.92043981481481485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0.34813657407407406</v>
          </cell>
          <cell r="K2" t="str">
            <v>AGENCY-SEC-BIOMETRIC -READER-9(PH#3)-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0.79134259259259254</v>
          </cell>
          <cell r="K3" t="str">
            <v>FMM CP&amp;EMS IN</v>
          </cell>
          <cell r="L3" t="str">
            <v>JSR - Tata Steel Ltd</v>
          </cell>
        </row>
        <row r="4">
          <cell r="A4" t="str">
            <v>RD1203000744</v>
          </cell>
          <cell r="B4" t="str">
            <v>0004529569</v>
          </cell>
          <cell r="C4" t="str">
            <v>RAJU KALINDI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TSP/868847/0226</v>
          </cell>
          <cell r="I4" t="str">
            <v>IN</v>
          </cell>
          <cell r="J4">
            <v>0.33952546296296293</v>
          </cell>
          <cell r="K4" t="str">
            <v>AF SGP IN</v>
          </cell>
          <cell r="L4" t="str">
            <v>JSR - Tata Steel Ltd</v>
          </cell>
        </row>
        <row r="5">
          <cell r="A5" t="str">
            <v>RS0604000979</v>
          </cell>
          <cell r="B5" t="str">
            <v>0013594906</v>
          </cell>
          <cell r="C5" t="str">
            <v>RAKESH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TSP/882842/0226</v>
          </cell>
          <cell r="I5" t="str">
            <v>IN</v>
          </cell>
          <cell r="J5">
            <v>0.24489583333333331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0.33730324074074075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RW0204008111</v>
          </cell>
          <cell r="B7" t="str">
            <v>0014160176</v>
          </cell>
          <cell r="C7" t="str">
            <v>BASUDEO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TSP/882817/0226</v>
          </cell>
          <cell r="I7" t="str">
            <v>IN</v>
          </cell>
          <cell r="J7">
            <v>0.90651620370370367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RW0218129961</v>
          </cell>
          <cell r="B8" t="str">
            <v>0009178144</v>
          </cell>
          <cell r="C8" t="str">
            <v>APURBA KUMAR MAHATO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TSP/882824/0226</v>
          </cell>
          <cell r="I8" t="str">
            <v>IN</v>
          </cell>
          <cell r="J8">
            <v>0.31743055555555555</v>
          </cell>
          <cell r="K8" t="str">
            <v>PH#4 CHP CONTROL ROOM IN2</v>
          </cell>
          <cell r="L8" t="str">
            <v>JSR - Tata Steel Ltd</v>
          </cell>
        </row>
        <row r="9">
          <cell r="A9" t="str">
            <v>RW0305045827</v>
          </cell>
          <cell r="B9" t="str">
            <v>0009244505</v>
          </cell>
          <cell r="C9" t="str">
            <v>LAXMAN BHADUK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TSP/882818/0226</v>
          </cell>
          <cell r="I9" t="str">
            <v>IN</v>
          </cell>
          <cell r="J9">
            <v>0.25369212962962961</v>
          </cell>
          <cell r="K9" t="str">
            <v>FMM CP&amp;EMS IN</v>
          </cell>
          <cell r="L9" t="str">
            <v>JSR - Tata Steel Ltd</v>
          </cell>
        </row>
        <row r="10">
          <cell r="A10" t="str">
            <v>RW0403000921</v>
          </cell>
          <cell r="B10" t="str">
            <v>0004082771</v>
          </cell>
          <cell r="C10" t="str">
            <v>MANMOHAN PRASAD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TSP/882813/0226</v>
          </cell>
          <cell r="I10" t="str">
            <v>IN</v>
          </cell>
          <cell r="J10">
            <v>0.35187499999999999</v>
          </cell>
          <cell r="K10" t="str">
            <v>PH#4 CHP CONTROL ROOM IN2</v>
          </cell>
          <cell r="L10" t="str">
            <v>JSR - Tata Steel Ltd</v>
          </cell>
        </row>
        <row r="11">
          <cell r="A11" t="str">
            <v>RW0512133959</v>
          </cell>
          <cell r="B11" t="str">
            <v>0013643899</v>
          </cell>
          <cell r="C11" t="str">
            <v>SUJIT KUMAR SINGH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TSP/882814/0226</v>
          </cell>
          <cell r="I11" t="str">
            <v>IN</v>
          </cell>
          <cell r="J11">
            <v>0.36226851851851855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RW0621276455</v>
          </cell>
          <cell r="B12" t="str">
            <v>0014164901</v>
          </cell>
          <cell r="C12" t="str">
            <v>SUBHANDU MANDAL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TSP/882821/0226</v>
          </cell>
          <cell r="I12" t="str">
            <v>IN</v>
          </cell>
          <cell r="J12">
            <v>0.34657407407407409</v>
          </cell>
          <cell r="K12" t="str">
            <v>AGENCY-SEC-BIOMETRIC -READER-9(PH#3)- IN</v>
          </cell>
          <cell r="L12" t="str">
            <v>JSR - Tata Steel Ltd</v>
          </cell>
        </row>
        <row r="13">
          <cell r="A13" t="str">
            <v>RW0623791155</v>
          </cell>
          <cell r="B13" t="str">
            <v>0009230149</v>
          </cell>
          <cell r="C13" t="str">
            <v>TATA VANKAT RAO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TSP/882815/0226</v>
          </cell>
          <cell r="I13" t="str">
            <v>IN</v>
          </cell>
          <cell r="J13">
            <v>0.89849537037037042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RW0723808557</v>
          </cell>
          <cell r="B14" t="str">
            <v>0014188176</v>
          </cell>
          <cell r="C14" t="str">
            <v>VISHAL HASDA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TSP/886967/0326</v>
          </cell>
          <cell r="I14" t="str">
            <v>IN</v>
          </cell>
          <cell r="J14">
            <v>0.24388888888888891</v>
          </cell>
          <cell r="K14" t="str">
            <v>PH#4 CHP CONTROL ROOM IN2</v>
          </cell>
          <cell r="L14" t="str">
            <v>JSR - Tata Steel Ltd</v>
          </cell>
        </row>
        <row r="15">
          <cell r="A15" t="str">
            <v>RW0807096365</v>
          </cell>
          <cell r="B15" t="str">
            <v>0009286626</v>
          </cell>
          <cell r="C15" t="str">
            <v>NIPEN CHANDRA SUKUL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TSP/882843/0226</v>
          </cell>
          <cell r="I15" t="str">
            <v>IN</v>
          </cell>
          <cell r="J15">
            <v>0.7853472222222222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RW0822573453</v>
          </cell>
          <cell r="B16" t="str">
            <v>0014187726</v>
          </cell>
          <cell r="C16" t="str">
            <v>RATAN MAHATO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TSP/882839/0226</v>
          </cell>
          <cell r="I16" t="str">
            <v>IN</v>
          </cell>
          <cell r="J16">
            <v>0.32884259259259258</v>
          </cell>
          <cell r="K16" t="str">
            <v>FMM CP&amp;EMS IN</v>
          </cell>
          <cell r="L16" t="str">
            <v>JSR - Tata Steel Ltd</v>
          </cell>
        </row>
        <row r="17">
          <cell r="A17" t="str">
            <v>RW0907097796</v>
          </cell>
          <cell r="B17" t="str">
            <v>0013604685</v>
          </cell>
          <cell r="C17" t="str">
            <v>ASHOK ROY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TSP/882823/0226</v>
          </cell>
          <cell r="I17" t="str">
            <v>IN</v>
          </cell>
          <cell r="J17">
            <v>0.34968749999999998</v>
          </cell>
          <cell r="K17" t="str">
            <v>PH#4 CHP CONTROL ROOM IN 1</v>
          </cell>
          <cell r="L17" t="str">
            <v>JSR - Tata Steel Ltd</v>
          </cell>
        </row>
        <row r="18">
          <cell r="A18" t="str">
            <v>RW0911182377</v>
          </cell>
          <cell r="B18" t="str">
            <v>0014159469</v>
          </cell>
          <cell r="C18" t="str">
            <v>CHHOTU LOHRA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TSP/919171/0326</v>
          </cell>
          <cell r="I18" t="str">
            <v>IN</v>
          </cell>
          <cell r="J18">
            <v>0.33981481481481479</v>
          </cell>
          <cell r="K18" t="str">
            <v>FMM CP&amp;EMS IN</v>
          </cell>
          <cell r="L18" t="str">
            <v>JSR - Tata Steel Ltd</v>
          </cell>
        </row>
        <row r="19">
          <cell r="A19" t="str">
            <v>RW0911183405</v>
          </cell>
          <cell r="B19" t="str">
            <v>0009273370</v>
          </cell>
          <cell r="C19" t="str">
            <v>M NARAYAN RAO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TSP/886966/0326</v>
          </cell>
          <cell r="I19" t="str">
            <v>IN</v>
          </cell>
          <cell r="J19">
            <v>0.57098379629629636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RW1011186925</v>
          </cell>
          <cell r="B20" t="str">
            <v>0009171074</v>
          </cell>
          <cell r="C20" t="str">
            <v>ANIL KUMAR VERMA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TSP/919172/0326</v>
          </cell>
          <cell r="I20" t="str">
            <v>IN</v>
          </cell>
          <cell r="J20">
            <v>0.356875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RW1019191001</v>
          </cell>
          <cell r="B21" t="str">
            <v>0009169997</v>
          </cell>
          <cell r="C21" t="str">
            <v>CHITARANJAN SHARMA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TSP/886965/0326</v>
          </cell>
          <cell r="I21" t="str">
            <v>IN</v>
          </cell>
          <cell r="J21">
            <v>0.33991898148148153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RW1103005471</v>
          </cell>
          <cell r="B22" t="str">
            <v>0014173748</v>
          </cell>
          <cell r="C22" t="str">
            <v>NASIR ALI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TSP/882811/0226</v>
          </cell>
          <cell r="I22" t="str">
            <v>IN</v>
          </cell>
          <cell r="J22">
            <v>0.34030092592592592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RW1110162302</v>
          </cell>
          <cell r="B23" t="str">
            <v>0013556522</v>
          </cell>
          <cell r="C23" t="str">
            <v>CHITTA RANJAN MAHATO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TSP/882812/0226</v>
          </cell>
          <cell r="I23" t="str">
            <v>IN</v>
          </cell>
          <cell r="J23">
            <v>0.34494212962962961</v>
          </cell>
          <cell r="K23" t="str">
            <v>M/C OUT SIDE TOOL ROOM IN</v>
          </cell>
          <cell r="L23" t="str">
            <v>JSR - Tata Steel Ltd</v>
          </cell>
        </row>
        <row r="24">
          <cell r="A24" t="str">
            <v>RW1204027584</v>
          </cell>
          <cell r="B24" t="str">
            <v>0009234884</v>
          </cell>
          <cell r="C24" t="str">
            <v>BALVINDAR SINGH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TSP/868846/0226</v>
          </cell>
          <cell r="I24" t="str">
            <v>IN</v>
          </cell>
          <cell r="J24">
            <v>0.3589236111111111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RW1223956402</v>
          </cell>
          <cell r="B25" t="str">
            <v>0009014911</v>
          </cell>
          <cell r="C25" t="str">
            <v>KARAN KUMAR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TSP/882822/0226</v>
          </cell>
          <cell r="I25" t="str">
            <v>IN</v>
          </cell>
          <cell r="J25">
            <v>0.35429398148148145</v>
          </cell>
          <cell r="K25" t="str">
            <v>PH#4 CHP CONTROL ROOM IN2</v>
          </cell>
          <cell r="L25" t="str">
            <v>JSR - Tata Steel Ltd</v>
          </cell>
        </row>
        <row r="26">
          <cell r="A26" t="str">
            <v>VD0722561172</v>
          </cell>
          <cell r="B26" t="str">
            <v>0000117476</v>
          </cell>
          <cell r="C26" t="str">
            <v>RUPESH KUMAR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TSP/882819/0226</v>
          </cell>
          <cell r="I26" t="str">
            <v>IN</v>
          </cell>
          <cell r="J26">
            <v>0.32254629629629633</v>
          </cell>
          <cell r="K26" t="str">
            <v>FMM CP&amp;EMS IN</v>
          </cell>
          <cell r="L26" t="str">
            <v>JSR - Tata Steel Ltd</v>
          </cell>
        </row>
        <row r="27">
          <cell r="A27" t="str">
            <v>VW0123649596</v>
          </cell>
          <cell r="B27" t="str">
            <v>0009241248</v>
          </cell>
          <cell r="C27" t="str">
            <v>ABHISHEK BIRULI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TSP/882827/0226</v>
          </cell>
          <cell r="I27" t="str">
            <v>IN</v>
          </cell>
          <cell r="J27">
            <v>0.34907407407407409</v>
          </cell>
          <cell r="K27" t="str">
            <v>AGENCY-SEC-BIOMETRIC -READER-8(PH#3)- IN</v>
          </cell>
          <cell r="L27" t="str">
            <v>JSR - Tata Steel Ltd</v>
          </cell>
        </row>
        <row r="28">
          <cell r="A28" t="str">
            <v>VW0123657591</v>
          </cell>
          <cell r="B28" t="str">
            <v>0013566588</v>
          </cell>
          <cell r="C28" t="str">
            <v>HINDU BESRA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TSP/882841/0226</v>
          </cell>
          <cell r="I28" t="str">
            <v>IN</v>
          </cell>
          <cell r="J28">
            <v>0.33451388888888894</v>
          </cell>
          <cell r="K28" t="str">
            <v>EQMS CSS EAST IN</v>
          </cell>
          <cell r="L28" t="str">
            <v>JSR - Tata Steel Ltd</v>
          </cell>
        </row>
      </sheetData>
      <sheetData sheetId="1">
        <row r="4">
          <cell r="A4" t="str">
            <v>JW0724246971</v>
          </cell>
          <cell r="B4">
            <v>0.73569444444444443</v>
          </cell>
        </row>
        <row r="5">
          <cell r="A5" t="str">
            <v>RD0918134974</v>
          </cell>
          <cell r="B5">
            <v>0.25337962962962962</v>
          </cell>
        </row>
        <row r="6">
          <cell r="A6" t="str">
            <v>RD1203000744</v>
          </cell>
          <cell r="B6">
            <v>0.79193287037037041</v>
          </cell>
        </row>
        <row r="7">
          <cell r="A7" t="str">
            <v>RS0604000979</v>
          </cell>
          <cell r="B7">
            <v>0.58362268518518523</v>
          </cell>
        </row>
        <row r="8">
          <cell r="A8" t="str">
            <v>RW0105038642</v>
          </cell>
          <cell r="B8">
            <v>0.72956018518518517</v>
          </cell>
        </row>
        <row r="9">
          <cell r="A9" t="str">
            <v>RW0204008111</v>
          </cell>
          <cell r="B9">
            <v>0.25100694444444444</v>
          </cell>
        </row>
        <row r="10">
          <cell r="A10" t="str">
            <v>RW0218129961</v>
          </cell>
          <cell r="B10">
            <v>0.70959490740740738</v>
          </cell>
        </row>
        <row r="11">
          <cell r="A11" t="str">
            <v>RW0305045827</v>
          </cell>
          <cell r="B11">
            <v>0.71736111111111101</v>
          </cell>
        </row>
        <row r="12">
          <cell r="A12" t="str">
            <v>RW0403000921</v>
          </cell>
          <cell r="B12">
            <v>0.73245370370370377</v>
          </cell>
        </row>
        <row r="13">
          <cell r="A13" t="str">
            <v>RW0512133959</v>
          </cell>
          <cell r="B13">
            <v>0.73187500000000005</v>
          </cell>
        </row>
        <row r="14">
          <cell r="A14" t="str">
            <v>RW0621276455</v>
          </cell>
          <cell r="B14">
            <v>0.72950231481481476</v>
          </cell>
        </row>
        <row r="15">
          <cell r="A15" t="str">
            <v>RW0723808557</v>
          </cell>
          <cell r="B15">
            <v>0.58349537037037036</v>
          </cell>
        </row>
        <row r="16">
          <cell r="A16" t="str">
            <v>RW0807096365</v>
          </cell>
          <cell r="B16">
            <v>0.26119212962962962</v>
          </cell>
        </row>
        <row r="17">
          <cell r="A17" t="str">
            <v>RW0822573453</v>
          </cell>
          <cell r="B17">
            <v>0.70879629629629637</v>
          </cell>
        </row>
        <row r="18">
          <cell r="A18" t="str">
            <v>RW0907097796</v>
          </cell>
          <cell r="B18">
            <v>0.7724537037037037</v>
          </cell>
        </row>
        <row r="19">
          <cell r="A19" t="str">
            <v>RW0911182377</v>
          </cell>
          <cell r="B19">
            <v>0.73230324074074071</v>
          </cell>
        </row>
        <row r="20">
          <cell r="A20" t="str">
            <v>RW0911183405</v>
          </cell>
          <cell r="B20">
            <v>0.91531250000000008</v>
          </cell>
        </row>
        <row r="21">
          <cell r="A21" t="str">
            <v>RW1011186925</v>
          </cell>
          <cell r="B21">
            <v>0.73253472222222227</v>
          </cell>
        </row>
        <row r="22">
          <cell r="A22" t="str">
            <v>RW1019191001</v>
          </cell>
          <cell r="B22">
            <v>0.73221064814814818</v>
          </cell>
        </row>
        <row r="23">
          <cell r="A23" t="str">
            <v>RW1103005471</v>
          </cell>
          <cell r="B23">
            <v>0.72979166666666673</v>
          </cell>
        </row>
        <row r="24">
          <cell r="A24" t="str">
            <v>RW1110162302</v>
          </cell>
          <cell r="B24">
            <v>0.72972222222222216</v>
          </cell>
        </row>
        <row r="25">
          <cell r="A25" t="str">
            <v>RW1204027584</v>
          </cell>
          <cell r="B25">
            <v>0.72994212962962957</v>
          </cell>
        </row>
        <row r="26">
          <cell r="A26" t="str">
            <v>RW1223956402</v>
          </cell>
          <cell r="B26">
            <v>0.72936342592592596</v>
          </cell>
        </row>
        <row r="27">
          <cell r="A27" t="str">
            <v>VD0722561172</v>
          </cell>
          <cell r="B27">
            <v>0.7926157407407407</v>
          </cell>
        </row>
        <row r="28">
          <cell r="A28" t="str">
            <v>VW0123649596</v>
          </cell>
          <cell r="B28">
            <v>0.73561342592592593</v>
          </cell>
        </row>
        <row r="29">
          <cell r="A29" t="str">
            <v>VW0123657591</v>
          </cell>
          <cell r="B29">
            <v>0.7090277777777777</v>
          </cell>
        </row>
        <row r="30">
          <cell r="A30" t="str">
            <v>(blank)</v>
          </cell>
        </row>
        <row r="31">
          <cell r="A31" t="str">
            <v>Grand Total</v>
          </cell>
          <cell r="B31">
            <v>0.91531250000000008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0.36291666666666672</v>
          </cell>
          <cell r="K2" t="str">
            <v>AGENCY-SEC-BIOMETRIC -READER-9(PH#3)-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0.7912731481481482</v>
          </cell>
          <cell r="K3" t="str">
            <v>FMM CP&amp;EMS IN</v>
          </cell>
          <cell r="L3" t="str">
            <v>JSR - Tata Steel Ltd</v>
          </cell>
        </row>
        <row r="4">
          <cell r="A4" t="str">
            <v>RW0204008111</v>
          </cell>
          <cell r="B4" t="str">
            <v>0014160176</v>
          </cell>
          <cell r="C4" t="str">
            <v>BASUDEO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TSP/882817/0226</v>
          </cell>
          <cell r="I4" t="str">
            <v>IN</v>
          </cell>
          <cell r="J4">
            <v>0.91576388888888882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RW0305045827</v>
          </cell>
          <cell r="B5" t="str">
            <v>0009244505</v>
          </cell>
          <cell r="C5" t="str">
            <v>LAXMAN BHADUK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TSP/882818/0226</v>
          </cell>
          <cell r="I5" t="str">
            <v>IN</v>
          </cell>
          <cell r="J5">
            <v>0.24552083333333333</v>
          </cell>
          <cell r="K5" t="str">
            <v>PH#4 CHP CONTROL ROOM IN2</v>
          </cell>
          <cell r="L5" t="str">
            <v>JSR - Tata Steel Ltd</v>
          </cell>
        </row>
        <row r="6">
          <cell r="A6" t="str">
            <v>RW0512133959</v>
          </cell>
          <cell r="B6" t="str">
            <v>0013643899</v>
          </cell>
          <cell r="C6" t="str">
            <v>SUJIT KUMAR SINGH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TSP/882814/0226</v>
          </cell>
          <cell r="I6" t="str">
            <v>IN</v>
          </cell>
          <cell r="J6">
            <v>0.36584490740740744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RW0623791155</v>
          </cell>
          <cell r="B7" t="str">
            <v>0009230149</v>
          </cell>
          <cell r="C7" t="str">
            <v>TATA VANKAT RAO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TSP/882815/0226</v>
          </cell>
          <cell r="I7" t="str">
            <v>IN</v>
          </cell>
          <cell r="J7">
            <v>0.90530092592592604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RW0723808557</v>
          </cell>
          <cell r="B8" t="str">
            <v>0014188176</v>
          </cell>
          <cell r="C8" t="str">
            <v>VISHAL HASDA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TSP/886967/0326</v>
          </cell>
          <cell r="I8" t="str">
            <v>IN</v>
          </cell>
          <cell r="J8">
            <v>0.2404050925925926</v>
          </cell>
          <cell r="K8" t="str">
            <v>PH#4 CHP CONTROL ROOM IN2</v>
          </cell>
          <cell r="L8" t="str">
            <v>JSR - Tata Steel Ltd</v>
          </cell>
        </row>
        <row r="9">
          <cell r="A9" t="str">
            <v>RW0911183405</v>
          </cell>
          <cell r="B9" t="str">
            <v>0009273370</v>
          </cell>
          <cell r="C9" t="str">
            <v>M NARAYAN RAO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TSP/886966/0326</v>
          </cell>
          <cell r="I9" t="str">
            <v>IN</v>
          </cell>
          <cell r="J9">
            <v>0.57285879629629632</v>
          </cell>
          <cell r="K9" t="str">
            <v>FMM CP&amp;EMS IN</v>
          </cell>
          <cell r="L9" t="str">
            <v>JSR - Tata Steel Ltd</v>
          </cell>
        </row>
        <row r="10">
          <cell r="A10" t="str">
            <v>RW0916154862</v>
          </cell>
          <cell r="B10" t="str">
            <v>0009170471</v>
          </cell>
          <cell r="C10" t="str">
            <v>SHIV SHANKAR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TSP/912046/0326</v>
          </cell>
          <cell r="I10" t="str">
            <v>IN</v>
          </cell>
          <cell r="J10">
            <v>0.34484953703703702</v>
          </cell>
          <cell r="K10" t="str">
            <v>PH#4 CHP CONTROL ROOM IN2</v>
          </cell>
          <cell r="L10" t="str">
            <v>JSR - Tata Steel Ltd</v>
          </cell>
        </row>
        <row r="11">
          <cell r="A11" t="str">
            <v>RW1103005471</v>
          </cell>
          <cell r="B11" t="str">
            <v>0014173748</v>
          </cell>
          <cell r="C11" t="str">
            <v>NASIR ALI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TSP/882811/0226</v>
          </cell>
          <cell r="I11" t="str">
            <v>IN</v>
          </cell>
          <cell r="J11">
            <v>0.34038194444444447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RW1103006020</v>
          </cell>
          <cell r="B12" t="str">
            <v>0014158133</v>
          </cell>
          <cell r="C12" t="str">
            <v>BRAHMANAND MAHAPATRA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TSP/852300/0226</v>
          </cell>
          <cell r="I12" t="str">
            <v>IN</v>
          </cell>
          <cell r="J12">
            <v>0.56971064814814809</v>
          </cell>
          <cell r="K12" t="str">
            <v>PH#4 CHP CONTROL ROOM IN2</v>
          </cell>
          <cell r="L12" t="str">
            <v>JSR - Tata Steel Ltd</v>
          </cell>
        </row>
        <row r="13">
          <cell r="A13" t="str">
            <v>RW1223956402</v>
          </cell>
          <cell r="B13" t="str">
            <v>0009014911</v>
          </cell>
          <cell r="C13" t="str">
            <v>KARAN KUMAR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TSP/882822/0226</v>
          </cell>
          <cell r="I13" t="str">
            <v>IN</v>
          </cell>
          <cell r="J13">
            <v>0.35997685185185185</v>
          </cell>
          <cell r="K13" t="str">
            <v>PH#4 CHP CONTROL ROOM IN2</v>
          </cell>
          <cell r="L13" t="str">
            <v>JSR - Tata Steel Ltd</v>
          </cell>
        </row>
        <row r="14">
          <cell r="A14" t="str">
            <v>VD0722561172</v>
          </cell>
          <cell r="B14" t="str">
            <v>0000117476</v>
          </cell>
          <cell r="C14" t="str">
            <v>RUPESH KUMAR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TSP/882819/0226</v>
          </cell>
          <cell r="I14" t="str">
            <v>IN</v>
          </cell>
          <cell r="J14">
            <v>0.3172800925925926</v>
          </cell>
          <cell r="K14" t="str">
            <v>AGENCY-SEC-BIOMETRIC -READER-9(PH#3)- IN</v>
          </cell>
          <cell r="L14" t="str">
            <v>JSR - Tata Steel Ltd</v>
          </cell>
        </row>
      </sheetData>
      <sheetData sheetId="1">
        <row r="4">
          <cell r="A4" t="str">
            <v>JW0724246971</v>
          </cell>
          <cell r="B4">
            <v>0.72928240740740735</v>
          </cell>
        </row>
        <row r="5">
          <cell r="A5" t="str">
            <v>RD0918134974</v>
          </cell>
          <cell r="B5">
            <v>0.25071759259259258</v>
          </cell>
        </row>
        <row r="6">
          <cell r="A6" t="str">
            <v>RW0204008111</v>
          </cell>
          <cell r="B6">
            <v>0.25126157407407407</v>
          </cell>
        </row>
        <row r="7">
          <cell r="A7" t="str">
            <v>RW0305045827</v>
          </cell>
          <cell r="B7">
            <v>0.73621527777777773</v>
          </cell>
        </row>
        <row r="8">
          <cell r="A8" t="str">
            <v>RW0512133959</v>
          </cell>
          <cell r="B8">
            <v>0.73033564814814822</v>
          </cell>
        </row>
        <row r="9">
          <cell r="A9" t="str">
            <v>RW0623791155</v>
          </cell>
          <cell r="B9">
            <v>0.26099537037037041</v>
          </cell>
        </row>
        <row r="10">
          <cell r="A10" t="str">
            <v>RW0723808557</v>
          </cell>
          <cell r="B10">
            <v>0.58348379629629632</v>
          </cell>
        </row>
        <row r="11">
          <cell r="A11" t="str">
            <v>RW0807096365</v>
          </cell>
          <cell r="B11">
            <v>0.2610763888888889</v>
          </cell>
        </row>
        <row r="12">
          <cell r="A12" t="str">
            <v>RW0911183405</v>
          </cell>
          <cell r="B12">
            <v>0.89609953703703704</v>
          </cell>
        </row>
        <row r="13">
          <cell r="A13" t="str">
            <v>RW0916154862</v>
          </cell>
          <cell r="B13">
            <v>0.75150462962962961</v>
          </cell>
        </row>
        <row r="14">
          <cell r="A14" t="str">
            <v>RW1103005471</v>
          </cell>
          <cell r="B14">
            <v>0.72917824074074078</v>
          </cell>
        </row>
        <row r="15">
          <cell r="A15" t="str">
            <v>RW1103006020</v>
          </cell>
          <cell r="B15">
            <v>0.91670138888888886</v>
          </cell>
        </row>
        <row r="16">
          <cell r="A16" t="str">
            <v>RW1223956402</v>
          </cell>
          <cell r="B16">
            <v>0.72976851851851843</v>
          </cell>
        </row>
        <row r="17">
          <cell r="A17" t="str">
            <v>VD0722561172</v>
          </cell>
          <cell r="B17">
            <v>0.79243055555555564</v>
          </cell>
        </row>
        <row r="18">
          <cell r="A18" t="str">
            <v>(blank)</v>
          </cell>
        </row>
        <row r="19">
          <cell r="A19" t="str">
            <v>Grand Total</v>
          </cell>
          <cell r="B19">
            <v>0.91670138888888886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0.34940972222222227</v>
          </cell>
          <cell r="K2" t="str">
            <v>Procurement Refrectories store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0.77837962962962959</v>
          </cell>
          <cell r="K3" t="str">
            <v>AGENCY-SEC-BIOMETRIC -READER-9(PH#3)- IN</v>
          </cell>
          <cell r="L3" t="str">
            <v>JSR - Tata Steel Ltd</v>
          </cell>
        </row>
        <row r="4">
          <cell r="A4" t="str">
            <v>RD1203000744</v>
          </cell>
          <cell r="B4" t="str">
            <v>0004529569</v>
          </cell>
          <cell r="C4" t="str">
            <v>RAJU KALINDI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TSP/868847/0226</v>
          </cell>
          <cell r="I4" t="str">
            <v>IN</v>
          </cell>
          <cell r="J4">
            <v>0.7884606481481482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RS0604000979</v>
          </cell>
          <cell r="B5" t="str">
            <v>0013594906</v>
          </cell>
          <cell r="C5" t="str">
            <v>RAKESH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TSP/882842/0226</v>
          </cell>
          <cell r="I5" t="str">
            <v>IN</v>
          </cell>
          <cell r="J5">
            <v>0.90324074074074068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0.34840277777777778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RW0105038642</v>
          </cell>
          <cell r="B7" t="str">
            <v>0009289525</v>
          </cell>
          <cell r="C7" t="str">
            <v>NAND LAL TIU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TSP/882844/0226</v>
          </cell>
          <cell r="I7" t="str">
            <v>IN</v>
          </cell>
          <cell r="J7">
            <v>0.34958333333333336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RW0204008111</v>
          </cell>
          <cell r="B8" t="str">
            <v>0014160176</v>
          </cell>
          <cell r="C8" t="str">
            <v>BASUDEO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TSP/882817/0226</v>
          </cell>
          <cell r="I8" t="str">
            <v>IN</v>
          </cell>
          <cell r="J8">
            <v>0.90368055555555549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RW0218129961</v>
          </cell>
          <cell r="B9" t="str">
            <v>0009178144</v>
          </cell>
          <cell r="C9" t="str">
            <v>APURBA KUMAR MAHATO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TSP/882824/0226</v>
          </cell>
          <cell r="I9" t="str">
            <v>IN</v>
          </cell>
          <cell r="J9">
            <v>0.32819444444444446</v>
          </cell>
          <cell r="K9" t="str">
            <v>FMM CP&amp;EMS IN</v>
          </cell>
          <cell r="L9" t="str">
            <v>JSR - Tata Steel Ltd</v>
          </cell>
        </row>
        <row r="10">
          <cell r="A10" t="str">
            <v>RW0305045827</v>
          </cell>
          <cell r="B10" t="str">
            <v>0009244505</v>
          </cell>
          <cell r="C10" t="str">
            <v>LAXMAN BHADUK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TSP/882818/0226</v>
          </cell>
          <cell r="I10" t="str">
            <v>IN</v>
          </cell>
          <cell r="J10">
            <v>0.32425925925925925</v>
          </cell>
          <cell r="K10" t="str">
            <v>PH#4 CHP CONTROL ROOM IN2</v>
          </cell>
          <cell r="L10" t="str">
            <v>JSR - Tata Steel Ltd</v>
          </cell>
        </row>
        <row r="11">
          <cell r="A11" t="str">
            <v>RW0403000921</v>
          </cell>
          <cell r="B11" t="str">
            <v>0004082771</v>
          </cell>
          <cell r="C11" t="str">
            <v>MANMOHAN PRASAD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TSP/882813/0226</v>
          </cell>
          <cell r="I11" t="str">
            <v>IN</v>
          </cell>
          <cell r="J11">
            <v>0.33298611111111115</v>
          </cell>
          <cell r="K11" t="str">
            <v>PH#4 CHP CONTROL ROOM IN 1</v>
          </cell>
          <cell r="L11" t="str">
            <v>JSR - Tata Steel Ltd</v>
          </cell>
        </row>
        <row r="12">
          <cell r="A12" t="str">
            <v>RW0608113053</v>
          </cell>
          <cell r="B12" t="str">
            <v>0009203758</v>
          </cell>
          <cell r="C12" t="str">
            <v>RAJESH PRADHAN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TSP/882826/0226</v>
          </cell>
          <cell r="I12" t="str">
            <v>IN</v>
          </cell>
          <cell r="J12">
            <v>0.32716435185185183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RW0621276455</v>
          </cell>
          <cell r="B13" t="str">
            <v>0014164901</v>
          </cell>
          <cell r="C13" t="str">
            <v>SUBHANDU MANDAL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TSP/882821/0226</v>
          </cell>
          <cell r="I13" t="str">
            <v>IN</v>
          </cell>
          <cell r="J13">
            <v>0.35930555555555554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RW0723808557</v>
          </cell>
          <cell r="B14" t="str">
            <v>0014188176</v>
          </cell>
          <cell r="C14" t="str">
            <v>VISHAL HASDA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TSP/886967/0326</v>
          </cell>
          <cell r="I14" t="str">
            <v>IN</v>
          </cell>
          <cell r="J14">
            <v>0.24243055555555557</v>
          </cell>
          <cell r="K14" t="str">
            <v>PH#4 CHP CONTROL ROOM IN2</v>
          </cell>
          <cell r="L14" t="str">
            <v>JSR - Tata Steel Ltd</v>
          </cell>
        </row>
        <row r="15">
          <cell r="A15" t="str">
            <v>RW0822573453</v>
          </cell>
          <cell r="B15" t="str">
            <v>0014187726</v>
          </cell>
          <cell r="C15" t="str">
            <v>RATAN MAHATO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TSP/882839/0226</v>
          </cell>
          <cell r="I15" t="str">
            <v>IN</v>
          </cell>
          <cell r="J15">
            <v>0.3518634259259259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RW0907097796</v>
          </cell>
          <cell r="B16" t="str">
            <v>0013604685</v>
          </cell>
          <cell r="C16" t="str">
            <v>ASHOK ROY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TSP/882823/0226</v>
          </cell>
          <cell r="I16" t="str">
            <v>IN</v>
          </cell>
          <cell r="J16">
            <v>0.57666666666666666</v>
          </cell>
          <cell r="K16" t="str">
            <v>PH#4 CHP CONTROL ROOM IN2</v>
          </cell>
          <cell r="L16" t="str">
            <v>JSR - Tata Steel Ltd</v>
          </cell>
        </row>
        <row r="17">
          <cell r="A17" t="str">
            <v>RW0911182377</v>
          </cell>
          <cell r="B17" t="str">
            <v>0014159469</v>
          </cell>
          <cell r="C17" t="str">
            <v>CHHOTU LOHRA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TSP/919171/0326</v>
          </cell>
          <cell r="I17" t="str">
            <v>IN</v>
          </cell>
          <cell r="J17">
            <v>0.33504629629629629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RW0911183405</v>
          </cell>
          <cell r="B18" t="str">
            <v>0009273370</v>
          </cell>
          <cell r="C18" t="str">
            <v>M NARAYAN RAO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TSP/886966/0326</v>
          </cell>
          <cell r="I18" t="str">
            <v>IN</v>
          </cell>
          <cell r="J18">
            <v>0.56171296296296302</v>
          </cell>
          <cell r="K18" t="str">
            <v>PH#4 CHP CONTROL ROOM IN2</v>
          </cell>
          <cell r="L18" t="str">
            <v>JSR - Tata Steel Ltd</v>
          </cell>
        </row>
        <row r="19">
          <cell r="A19" t="str">
            <v>RW0916154862</v>
          </cell>
          <cell r="B19" t="str">
            <v>0009170471</v>
          </cell>
          <cell r="C19" t="str">
            <v>SHIV SHANKAR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TSP/912046/0326</v>
          </cell>
          <cell r="I19" t="str">
            <v>IN</v>
          </cell>
          <cell r="J19">
            <v>0.34369212962962964</v>
          </cell>
          <cell r="K19" t="str">
            <v>M/C OUT SIDE TOOL ROOM IN</v>
          </cell>
          <cell r="L19" t="str">
            <v>JSR - Tata Steel Ltd</v>
          </cell>
        </row>
        <row r="20">
          <cell r="A20" t="str">
            <v>RW1019191001</v>
          </cell>
          <cell r="B20" t="str">
            <v>0009169997</v>
          </cell>
          <cell r="C20" t="str">
            <v>CHITARANJAN SHARMA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TSP/886965/0326</v>
          </cell>
          <cell r="I20" t="str">
            <v>IN</v>
          </cell>
          <cell r="J20">
            <v>0.33521990740740742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RW1103005471</v>
          </cell>
          <cell r="B21" t="str">
            <v>0014173748</v>
          </cell>
          <cell r="C21" t="str">
            <v>NASIR ALI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TSP/882811/0226</v>
          </cell>
          <cell r="I21" t="str">
            <v>IN</v>
          </cell>
          <cell r="J21">
            <v>0.33682870370370371</v>
          </cell>
          <cell r="K21" t="str">
            <v>Automation West -IN</v>
          </cell>
          <cell r="L21" t="str">
            <v>JSR - Tata Steel Ltd</v>
          </cell>
        </row>
        <row r="22">
          <cell r="A22" t="str">
            <v>RW1103006020</v>
          </cell>
          <cell r="B22" t="str">
            <v>0014158133</v>
          </cell>
          <cell r="C22" t="str">
            <v>BRAHMANAND MAHAPATRA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TSP/852300/0226</v>
          </cell>
          <cell r="I22" t="str">
            <v>IN</v>
          </cell>
          <cell r="J22">
            <v>0.56652777777777774</v>
          </cell>
          <cell r="K22" t="str">
            <v>PH#4 CHP CONTROL ROOM IN2</v>
          </cell>
          <cell r="L22" t="str">
            <v>JSR - Tata Steel Ltd</v>
          </cell>
        </row>
        <row r="23">
          <cell r="A23" t="str">
            <v>RW1110162302</v>
          </cell>
          <cell r="B23" t="str">
            <v>0013556522</v>
          </cell>
          <cell r="C23" t="str">
            <v>CHITTA RANJAN MAHATO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TSP/882812/0226</v>
          </cell>
          <cell r="I23" t="str">
            <v>IN</v>
          </cell>
          <cell r="J23">
            <v>0.33848379629629632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RW1204027584</v>
          </cell>
          <cell r="B24" t="str">
            <v>0009234884</v>
          </cell>
          <cell r="C24" t="str">
            <v>BALVINDAR SINGH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TSP/868846/0226</v>
          </cell>
          <cell r="I24" t="str">
            <v>IN</v>
          </cell>
          <cell r="J24">
            <v>0.36155092592592591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RW1223956402</v>
          </cell>
          <cell r="B25" t="str">
            <v>0009014911</v>
          </cell>
          <cell r="C25" t="str">
            <v>KARAN KUMAR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TSP/882822/0226</v>
          </cell>
          <cell r="I25" t="str">
            <v>IN</v>
          </cell>
          <cell r="J25">
            <v>0.35568287037037033</v>
          </cell>
          <cell r="K25" t="str">
            <v>PH#4 CHP CONTROL ROOM IN2</v>
          </cell>
          <cell r="L25" t="str">
            <v>JSR - Tata Steel Ltd</v>
          </cell>
        </row>
        <row r="26">
          <cell r="A26" t="str">
            <v>VD0722561172</v>
          </cell>
          <cell r="B26" t="str">
            <v>0000117476</v>
          </cell>
          <cell r="C26" t="str">
            <v>RUPESH KUMAR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TSP/882819/0226</v>
          </cell>
          <cell r="I26" t="str">
            <v>IN</v>
          </cell>
          <cell r="J26">
            <v>0.24569444444444444</v>
          </cell>
          <cell r="K26" t="str">
            <v>AGENCY-SEC-BIOMETRIC -READER-9(PH#3)- IN</v>
          </cell>
          <cell r="L26" t="str">
            <v>JSR - Tata Steel Ltd</v>
          </cell>
        </row>
        <row r="27">
          <cell r="A27" t="str">
            <v>VW0123649596</v>
          </cell>
          <cell r="B27" t="str">
            <v>0009241248</v>
          </cell>
          <cell r="C27" t="str">
            <v>ABHISHEK BIRULI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TSP/882827/0226</v>
          </cell>
          <cell r="I27" t="str">
            <v>IN</v>
          </cell>
          <cell r="J27">
            <v>0.35150462962962964</v>
          </cell>
          <cell r="K27" t="str">
            <v>Procurement Refrectories store IN</v>
          </cell>
          <cell r="L27" t="str">
            <v>JSR - Tata Steel Ltd</v>
          </cell>
        </row>
      </sheetData>
      <sheetData sheetId="1">
        <row r="4">
          <cell r="A4" t="str">
            <v>JW0724246971</v>
          </cell>
          <cell r="B4">
            <v>0.72969907407407408</v>
          </cell>
        </row>
        <row r="5">
          <cell r="A5" t="str">
            <v>RD0918134974</v>
          </cell>
          <cell r="B5">
            <v>0.25195601851851851</v>
          </cell>
        </row>
        <row r="6">
          <cell r="A6" t="str">
            <v>RW0105038642</v>
          </cell>
          <cell r="B6">
            <v>0.73019675925925931</v>
          </cell>
        </row>
        <row r="7">
          <cell r="A7" t="str">
            <v>RW0204008111</v>
          </cell>
          <cell r="B7">
            <v>0.25093749999999998</v>
          </cell>
        </row>
        <row r="8">
          <cell r="A8" t="str">
            <v>RW0218129961</v>
          </cell>
          <cell r="B8">
            <v>0.7093287037037036</v>
          </cell>
        </row>
        <row r="9">
          <cell r="A9" t="str">
            <v>RW0305045827</v>
          </cell>
          <cell r="B9">
            <v>0.79700231481481476</v>
          </cell>
        </row>
        <row r="10">
          <cell r="A10" t="str">
            <v>RW0403000921</v>
          </cell>
          <cell r="B10">
            <v>0.71740740740740738</v>
          </cell>
        </row>
        <row r="11">
          <cell r="A11" t="str">
            <v>RW0608113053</v>
          </cell>
          <cell r="B11">
            <v>0.72996527777777775</v>
          </cell>
        </row>
        <row r="12">
          <cell r="A12" t="str">
            <v>RW0621276455</v>
          </cell>
          <cell r="B12">
            <v>0.72918981481481471</v>
          </cell>
        </row>
        <row r="13">
          <cell r="A13" t="str">
            <v>RW0623791155</v>
          </cell>
          <cell r="B13">
            <v>0.25015046296296295</v>
          </cell>
        </row>
        <row r="14">
          <cell r="A14" t="str">
            <v>RW0723808557</v>
          </cell>
          <cell r="B14">
            <v>0.58341435185185186</v>
          </cell>
        </row>
        <row r="15">
          <cell r="A15" t="str">
            <v>RW0822573453</v>
          </cell>
          <cell r="B15">
            <v>0.75167824074074074</v>
          </cell>
        </row>
        <row r="16">
          <cell r="A16" t="str">
            <v>RW0907097796</v>
          </cell>
          <cell r="B16">
            <v>0.91699074074074083</v>
          </cell>
        </row>
        <row r="17">
          <cell r="A17" t="str">
            <v>RW0911182377</v>
          </cell>
          <cell r="B17">
            <v>0.73039351851851853</v>
          </cell>
        </row>
        <row r="18">
          <cell r="A18" t="str">
            <v>RW0911183405</v>
          </cell>
          <cell r="B18">
            <v>0.91684027777777777</v>
          </cell>
        </row>
        <row r="19">
          <cell r="A19" t="str">
            <v>RW0916154862</v>
          </cell>
          <cell r="B19">
            <v>0.72953703703703709</v>
          </cell>
        </row>
        <row r="20">
          <cell r="A20" t="str">
            <v>RW1019191001</v>
          </cell>
          <cell r="B20">
            <v>0.72987268518518522</v>
          </cell>
        </row>
        <row r="21">
          <cell r="A21" t="str">
            <v>RW1103005471</v>
          </cell>
          <cell r="B21">
            <v>0.72987268518518522</v>
          </cell>
        </row>
        <row r="22">
          <cell r="A22" t="str">
            <v>RW1103006020</v>
          </cell>
          <cell r="B22">
            <v>0.91712962962962974</v>
          </cell>
        </row>
        <row r="23">
          <cell r="A23" t="str">
            <v>RW1110162302</v>
          </cell>
          <cell r="B23">
            <v>0.72927083333333342</v>
          </cell>
        </row>
        <row r="24">
          <cell r="A24" t="str">
            <v>RW1204027584</v>
          </cell>
          <cell r="B24">
            <v>0.73093750000000002</v>
          </cell>
        </row>
        <row r="25">
          <cell r="A25" t="str">
            <v>RW1223956402</v>
          </cell>
          <cell r="B25">
            <v>0.72939814814814818</v>
          </cell>
        </row>
        <row r="26">
          <cell r="A26" t="str">
            <v>VD0722561172</v>
          </cell>
          <cell r="B26">
            <v>0.5841319444444445</v>
          </cell>
        </row>
        <row r="27">
          <cell r="A27" t="str">
            <v>VW0123649596</v>
          </cell>
          <cell r="B27">
            <v>0.73004629629629625</v>
          </cell>
        </row>
        <row r="28">
          <cell r="A28" t="str">
            <v>(blank)</v>
          </cell>
        </row>
        <row r="29">
          <cell r="A29" t="str">
            <v>Grand Total</v>
          </cell>
          <cell r="B29">
            <v>0.91712962962962974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RD0918134974</v>
          </cell>
          <cell r="B2" t="str">
            <v>0009224194</v>
          </cell>
          <cell r="C2" t="str">
            <v>NALIN MAHATO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TSP/882820/0226</v>
          </cell>
          <cell r="I2" t="str">
            <v>IN</v>
          </cell>
          <cell r="J2">
            <v>0.79431712962962964</v>
          </cell>
          <cell r="K2" t="str">
            <v>FMM CP&amp;EMS IN</v>
          </cell>
          <cell r="L2" t="str">
            <v>JSR - Tata Steel Ltd</v>
          </cell>
        </row>
        <row r="3">
          <cell r="A3" t="str">
            <v>RD1203000744</v>
          </cell>
          <cell r="B3" t="str">
            <v>0004529569</v>
          </cell>
          <cell r="C3" t="str">
            <v>RAJU KALINDI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TSP/868847/0226</v>
          </cell>
          <cell r="I3" t="str">
            <v>IN</v>
          </cell>
          <cell r="J3">
            <v>0.78784722222222225</v>
          </cell>
          <cell r="K3" t="str">
            <v>AF SGP IN</v>
          </cell>
          <cell r="L3" t="str">
            <v>JSR - Tata Steel Ltd</v>
          </cell>
        </row>
        <row r="4">
          <cell r="A4" t="str">
            <v>RS0604000979</v>
          </cell>
          <cell r="B4" t="str">
            <v>0013594906</v>
          </cell>
          <cell r="C4" t="str">
            <v>RAKESH KUMAR SINGH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TSP/882842/0226</v>
          </cell>
          <cell r="I4" t="str">
            <v>IN</v>
          </cell>
          <cell r="J4">
            <v>0.90563657407407405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RW0105038642</v>
          </cell>
          <cell r="B5" t="str">
            <v>0009289525</v>
          </cell>
          <cell r="C5" t="str">
            <v>NAND LAL TIU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TSP/882844/0226</v>
          </cell>
          <cell r="I5" t="str">
            <v>IN</v>
          </cell>
          <cell r="J5">
            <v>0.33959490740740739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RW0218129961</v>
          </cell>
          <cell r="B6" t="str">
            <v>0009178144</v>
          </cell>
          <cell r="C6" t="str">
            <v>APURBA KUMAR MAHATO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TSP/882824/0226</v>
          </cell>
          <cell r="I6" t="str">
            <v>IN</v>
          </cell>
          <cell r="J6">
            <v>0.32774305555555555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RW0305045827</v>
          </cell>
          <cell r="B7" t="str">
            <v>0009244505</v>
          </cell>
          <cell r="C7" t="str">
            <v>LAXMAN BHADUK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TSP/882818/0226</v>
          </cell>
          <cell r="I7" t="str">
            <v>IN</v>
          </cell>
          <cell r="J7">
            <v>0.24501157407407406</v>
          </cell>
          <cell r="K7" t="str">
            <v>PH#4 CHP CONTROL ROOM IN2</v>
          </cell>
          <cell r="L7" t="str">
            <v>JSR - Tata Steel Ltd</v>
          </cell>
        </row>
        <row r="8">
          <cell r="A8" t="str">
            <v>RW0403000921</v>
          </cell>
          <cell r="B8" t="str">
            <v>0004082771</v>
          </cell>
          <cell r="C8" t="str">
            <v>MANMOHAN PRASAD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TSP/882813/0226</v>
          </cell>
          <cell r="I8" t="str">
            <v>IN</v>
          </cell>
          <cell r="J8">
            <v>0.35564814814814816</v>
          </cell>
          <cell r="K8" t="str">
            <v>PH#4 CHP CONTROL ROOM IN2</v>
          </cell>
          <cell r="L8" t="str">
            <v>JSR - Tata Steel Ltd</v>
          </cell>
        </row>
        <row r="9">
          <cell r="A9" t="str">
            <v>RW0608113053</v>
          </cell>
          <cell r="B9" t="str">
            <v>0009203758</v>
          </cell>
          <cell r="C9" t="str">
            <v>RAJESH PRADHAN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TSP/882826/0226</v>
          </cell>
          <cell r="I9" t="str">
            <v>IN</v>
          </cell>
          <cell r="J9">
            <v>0.33606481481481482</v>
          </cell>
          <cell r="K9" t="str">
            <v>FMM CP&amp;EMS IN</v>
          </cell>
          <cell r="L9" t="str">
            <v>JSR - Tata Steel Ltd</v>
          </cell>
        </row>
        <row r="10">
          <cell r="A10" t="str">
            <v>RW0621276455</v>
          </cell>
          <cell r="B10" t="str">
            <v>0014164901</v>
          </cell>
          <cell r="C10" t="str">
            <v>SUBHANDU MANDAL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TSP/882821/0226</v>
          </cell>
          <cell r="I10" t="str">
            <v>IN</v>
          </cell>
          <cell r="J10">
            <v>0.35314814814814816</v>
          </cell>
          <cell r="K10" t="str">
            <v>FMM CP&amp;EMS IN</v>
          </cell>
          <cell r="L10" t="str">
            <v>JSR - Tata Steel Ltd</v>
          </cell>
        </row>
        <row r="11">
          <cell r="A11" t="str">
            <v>RW0623791155</v>
          </cell>
          <cell r="B11" t="str">
            <v>0009230149</v>
          </cell>
          <cell r="C11" t="str">
            <v>TATA VANKAT RAO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TSP/882815/0226</v>
          </cell>
          <cell r="I11" t="str">
            <v>IN</v>
          </cell>
          <cell r="J11">
            <v>0.57798611111111109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RW0723808557</v>
          </cell>
          <cell r="B12" t="str">
            <v>0014188176</v>
          </cell>
          <cell r="C12" t="str">
            <v>VISHAL HASDA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TSP/886967/0326</v>
          </cell>
          <cell r="I12" t="str">
            <v>IN</v>
          </cell>
          <cell r="J12">
            <v>0.90601851851851845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RW0807096365</v>
          </cell>
          <cell r="B13" t="str">
            <v>0009286626</v>
          </cell>
          <cell r="C13" t="str">
            <v>NIPEN CHANDRA SUKUL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TSP/882843/0226</v>
          </cell>
          <cell r="I13" t="str">
            <v>IN</v>
          </cell>
          <cell r="J13">
            <v>0.32879629629629631</v>
          </cell>
          <cell r="K13" t="str">
            <v>BPH Check House IN</v>
          </cell>
          <cell r="L13" t="str">
            <v>JSR - Tata Steel Ltd</v>
          </cell>
        </row>
        <row r="14">
          <cell r="A14" t="str">
            <v>RW0822573453</v>
          </cell>
          <cell r="B14" t="str">
            <v>0014187726</v>
          </cell>
          <cell r="C14" t="str">
            <v>RATAN MAHATO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TSP/882839/0226</v>
          </cell>
          <cell r="I14" t="str">
            <v>IN</v>
          </cell>
          <cell r="J14">
            <v>0.31829861111111107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RW0907097796</v>
          </cell>
          <cell r="B15" t="str">
            <v>0013604685</v>
          </cell>
          <cell r="C15" t="str">
            <v>ASHOK ROY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TSP/882823/0226</v>
          </cell>
          <cell r="I15" t="str">
            <v>IN</v>
          </cell>
          <cell r="J15">
            <v>0.57994212962962965</v>
          </cell>
          <cell r="K15" t="str">
            <v>PH#4 CHP CONTROL ROOM IN2</v>
          </cell>
          <cell r="L15" t="str">
            <v>JSR - Tata Steel Ltd</v>
          </cell>
        </row>
        <row r="16">
          <cell r="A16" t="str">
            <v>RW0911182377</v>
          </cell>
          <cell r="B16" t="str">
            <v>0014159469</v>
          </cell>
          <cell r="C16" t="str">
            <v>CHHOTU LOHRA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TSP/919171/0326</v>
          </cell>
          <cell r="I16" t="str">
            <v>IN</v>
          </cell>
          <cell r="J16">
            <v>0.33578703703703705</v>
          </cell>
          <cell r="K16" t="str">
            <v>FMM CP&amp;EMS IN</v>
          </cell>
          <cell r="L16" t="str">
            <v>JSR - Tata Steel Ltd</v>
          </cell>
        </row>
        <row r="17">
          <cell r="A17" t="str">
            <v>RW0911183405</v>
          </cell>
          <cell r="B17" t="str">
            <v>0009273370</v>
          </cell>
          <cell r="C17" t="str">
            <v>M NARAYAN RAO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TSP/886966/0326</v>
          </cell>
          <cell r="I17" t="str">
            <v>IN</v>
          </cell>
          <cell r="J17">
            <v>0.24755787037037036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RW0916154862</v>
          </cell>
          <cell r="B18" t="str">
            <v>0009170471</v>
          </cell>
          <cell r="C18" t="str">
            <v>SHIV SHANKAR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TSP/912046/0326</v>
          </cell>
          <cell r="I18" t="str">
            <v>IN</v>
          </cell>
          <cell r="J18">
            <v>0.35401620370370374</v>
          </cell>
          <cell r="K18" t="str">
            <v>PH#4 CHP CONTROL ROOM IN 1</v>
          </cell>
          <cell r="L18" t="str">
            <v>JSR - Tata Steel Ltd</v>
          </cell>
        </row>
        <row r="19">
          <cell r="A19" t="str">
            <v>RW1011186925</v>
          </cell>
          <cell r="B19" t="str">
            <v>0009171074</v>
          </cell>
          <cell r="C19" t="str">
            <v>ANIL KUMAR VERMA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TSP/919172/0326</v>
          </cell>
          <cell r="I19" t="str">
            <v>IN</v>
          </cell>
          <cell r="J19">
            <v>0.33589120370370368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RW1019191001</v>
          </cell>
          <cell r="B20" t="str">
            <v>0009169997</v>
          </cell>
          <cell r="C20" t="str">
            <v>CHITARANJAN SHARMA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TSP/886965/0326</v>
          </cell>
          <cell r="I20" t="str">
            <v>IN</v>
          </cell>
          <cell r="J20">
            <v>0.33567129629629627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RW1103005471</v>
          </cell>
          <cell r="B21" t="str">
            <v>0014173748</v>
          </cell>
          <cell r="C21" t="str">
            <v>NASIR ALI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TSP/882811/0226</v>
          </cell>
          <cell r="I21" t="str">
            <v>IN</v>
          </cell>
          <cell r="J21">
            <v>0.34383101851851849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RW1103006020</v>
          </cell>
          <cell r="B22" t="str">
            <v>0014158133</v>
          </cell>
          <cell r="C22" t="str">
            <v>BRAHMANAND MAHAPATRA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TSP/852300/0226</v>
          </cell>
          <cell r="I22" t="str">
            <v>IN</v>
          </cell>
          <cell r="J22">
            <v>0.577662037037037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RW1110162302</v>
          </cell>
          <cell r="B23" t="str">
            <v>0013556522</v>
          </cell>
          <cell r="C23" t="str">
            <v>CHITTA RANJAN MAHATO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TSP/882812/0226</v>
          </cell>
          <cell r="I23" t="str">
            <v>IN</v>
          </cell>
          <cell r="J23">
            <v>0.35049768518518515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RW1204027584</v>
          </cell>
          <cell r="B24" t="str">
            <v>0009234884</v>
          </cell>
          <cell r="C24" t="str">
            <v>BALVINDAR SINGH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TSP/868846/0226</v>
          </cell>
          <cell r="I24" t="str">
            <v>IN</v>
          </cell>
          <cell r="J24">
            <v>0.36274305555555553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RW1223956402</v>
          </cell>
          <cell r="B25" t="str">
            <v>0009014911</v>
          </cell>
          <cell r="C25" t="str">
            <v>KARAN KUMAR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TSP/882822/0226</v>
          </cell>
          <cell r="I25" t="str">
            <v>IN</v>
          </cell>
          <cell r="J25">
            <v>0.35701388888888891</v>
          </cell>
          <cell r="K25" t="str">
            <v>PH#4 CHP CONTROL ROOM IN2</v>
          </cell>
          <cell r="L25" t="str">
            <v>JSR - Tata Steel Ltd</v>
          </cell>
        </row>
        <row r="26">
          <cell r="A26" t="str">
            <v>VD0722561172</v>
          </cell>
          <cell r="B26" t="str">
            <v>0000117476</v>
          </cell>
          <cell r="C26" t="str">
            <v>RUPESH KUMAR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TSP/882819/0226</v>
          </cell>
          <cell r="I26" t="str">
            <v>IN</v>
          </cell>
          <cell r="J26">
            <v>0.32740740740740742</v>
          </cell>
          <cell r="K26" t="str">
            <v>FMM CP&amp;EMS IN</v>
          </cell>
          <cell r="L26" t="str">
            <v>JSR - Tata Steel Ltd</v>
          </cell>
        </row>
        <row r="27">
          <cell r="A27" t="str">
            <v>VW0123649596</v>
          </cell>
          <cell r="B27" t="str">
            <v>0009241248</v>
          </cell>
          <cell r="C27" t="str">
            <v>ABHISHEK BIRULI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TSP/882827/0226</v>
          </cell>
          <cell r="I27" t="str">
            <v>IN</v>
          </cell>
          <cell r="J27">
            <v>0.3638657407407408</v>
          </cell>
          <cell r="K27" t="str">
            <v>FMM CP&amp;EMS IN</v>
          </cell>
          <cell r="L27" t="str">
            <v>JSR - Tata Steel Ltd</v>
          </cell>
        </row>
        <row r="28">
          <cell r="A28" t="str">
            <v>VW0123657591</v>
          </cell>
          <cell r="B28" t="str">
            <v>0013566588</v>
          </cell>
          <cell r="C28" t="str">
            <v>HINDU BESRA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TSP/882841/0226</v>
          </cell>
          <cell r="I28" t="str">
            <v>IN</v>
          </cell>
          <cell r="J28">
            <v>0.33050925925925928</v>
          </cell>
          <cell r="K28" t="str">
            <v>FMM CP&amp;EMS IN</v>
          </cell>
          <cell r="L28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RD0918134974</v>
          </cell>
          <cell r="B4">
            <v>0.25490740740740742</v>
          </cell>
        </row>
        <row r="5">
          <cell r="A5" t="str">
            <v>RD1203000744</v>
          </cell>
          <cell r="B5">
            <v>0.2509953703703704</v>
          </cell>
        </row>
        <row r="6">
          <cell r="A6" t="str">
            <v>RS0604000979</v>
          </cell>
          <cell r="B6">
            <v>0.25202546296296297</v>
          </cell>
        </row>
        <row r="7">
          <cell r="A7" t="str">
            <v>RW0105038642</v>
          </cell>
          <cell r="B7">
            <v>0.72938657407407403</v>
          </cell>
        </row>
        <row r="8">
          <cell r="A8" t="str">
            <v>RW0204008111</v>
          </cell>
          <cell r="B8">
            <v>0.25185185185185183</v>
          </cell>
        </row>
        <row r="9">
          <cell r="A9" t="str">
            <v>RW0218129961</v>
          </cell>
          <cell r="B9">
            <v>0.70851851851851855</v>
          </cell>
        </row>
        <row r="10">
          <cell r="A10" t="str">
            <v>RW0305045827</v>
          </cell>
          <cell r="B10">
            <v>0.70865740740740746</v>
          </cell>
        </row>
        <row r="11">
          <cell r="A11" t="str">
            <v>RW0403000921</v>
          </cell>
          <cell r="B11">
            <v>0.72936342592592596</v>
          </cell>
        </row>
        <row r="12">
          <cell r="A12" t="str">
            <v>RW0608113053</v>
          </cell>
          <cell r="B12">
            <v>0.72981481481481481</v>
          </cell>
        </row>
        <row r="13">
          <cell r="A13" t="str">
            <v>RW0621276455</v>
          </cell>
          <cell r="B13">
            <v>0.72954861111111102</v>
          </cell>
        </row>
        <row r="14">
          <cell r="A14" t="str">
            <v>RW0623791155</v>
          </cell>
          <cell r="B14">
            <v>0.916875</v>
          </cell>
        </row>
        <row r="15">
          <cell r="A15" t="str">
            <v>RW0807096365</v>
          </cell>
          <cell r="B15">
            <v>0.79172453703703705</v>
          </cell>
        </row>
        <row r="16">
          <cell r="A16" t="str">
            <v>RW0822573453</v>
          </cell>
          <cell r="B16">
            <v>0.7101736111111111</v>
          </cell>
        </row>
        <row r="17">
          <cell r="A17" t="str">
            <v>RW0907097796</v>
          </cell>
          <cell r="B17">
            <v>0.91701388888888891</v>
          </cell>
        </row>
        <row r="18">
          <cell r="A18" t="str">
            <v>RW0911182377</v>
          </cell>
          <cell r="B18">
            <v>0.72957175925925932</v>
          </cell>
        </row>
        <row r="19">
          <cell r="A19" t="str">
            <v>RW0911183405</v>
          </cell>
          <cell r="B19">
            <v>0.58355324074074078</v>
          </cell>
        </row>
        <row r="20">
          <cell r="A20" t="str">
            <v>RW0916154862</v>
          </cell>
          <cell r="B20">
            <v>0.73141203703703705</v>
          </cell>
        </row>
        <row r="21">
          <cell r="A21" t="str">
            <v>RW1011186925</v>
          </cell>
          <cell r="B21">
            <v>0.72964120370370367</v>
          </cell>
        </row>
        <row r="22">
          <cell r="A22" t="str">
            <v>RW1019191001</v>
          </cell>
          <cell r="B22">
            <v>0.72946759259259253</v>
          </cell>
        </row>
        <row r="23">
          <cell r="A23" t="str">
            <v>RW1103005471</v>
          </cell>
          <cell r="B23">
            <v>0.72921296296296301</v>
          </cell>
        </row>
        <row r="24">
          <cell r="A24" t="str">
            <v>RW1103006020</v>
          </cell>
          <cell r="B24">
            <v>0.91730324074074077</v>
          </cell>
        </row>
        <row r="25">
          <cell r="A25" t="str">
            <v>RW1110162302</v>
          </cell>
          <cell r="B25">
            <v>0.72996527777777775</v>
          </cell>
        </row>
        <row r="26">
          <cell r="A26" t="str">
            <v>RW1204027584</v>
          </cell>
          <cell r="B26">
            <v>0.72954861111111102</v>
          </cell>
        </row>
        <row r="27">
          <cell r="A27" t="str">
            <v>RW1223956402</v>
          </cell>
          <cell r="B27">
            <v>0.72943287037037041</v>
          </cell>
        </row>
        <row r="28">
          <cell r="A28" t="str">
            <v>VD0722561172</v>
          </cell>
          <cell r="B28">
            <v>0.79251157407407413</v>
          </cell>
        </row>
        <row r="29">
          <cell r="A29" t="str">
            <v>VW0123649596</v>
          </cell>
          <cell r="B29">
            <v>0.72971064814814823</v>
          </cell>
        </row>
        <row r="30">
          <cell r="A30" t="str">
            <v>VW0123657591</v>
          </cell>
          <cell r="B30">
            <v>0.71059027777777783</v>
          </cell>
        </row>
        <row r="31">
          <cell r="A31" t="str">
            <v>(blank)</v>
          </cell>
        </row>
        <row r="32">
          <cell r="A32" t="str">
            <v>Grand Total</v>
          </cell>
          <cell r="B32">
            <v>0.91730324074074077</v>
          </cell>
        </row>
      </sheetData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0.34261574074074069</v>
          </cell>
          <cell r="K2" t="str">
            <v>Procurement Refrectories store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0.77174768518518511</v>
          </cell>
          <cell r="K3" t="str">
            <v>AGENCY-SEC-BIOMETRIC -READER-9(PH#3)- IN</v>
          </cell>
          <cell r="L3" t="str">
            <v>JSR - Tata Steel Ltd</v>
          </cell>
        </row>
        <row r="4">
          <cell r="A4" t="str">
            <v>RD1203000744</v>
          </cell>
          <cell r="B4" t="str">
            <v>0004529569</v>
          </cell>
          <cell r="C4" t="str">
            <v>RAJU KALINDI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TSP/868847/0226</v>
          </cell>
          <cell r="I4" t="str">
            <v>IN</v>
          </cell>
          <cell r="J4">
            <v>0.79011574074074076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RS0604000979</v>
          </cell>
          <cell r="B5" t="str">
            <v>0013594906</v>
          </cell>
          <cell r="C5" t="str">
            <v>RAKESH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TSP/882842/0226</v>
          </cell>
          <cell r="I5" t="str">
            <v>IN</v>
          </cell>
          <cell r="J5">
            <v>0.90609953703703694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0.36290509259259257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RW0204008111</v>
          </cell>
          <cell r="B7" t="str">
            <v>0014160176</v>
          </cell>
          <cell r="C7" t="str">
            <v>BASUDEO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TSP/882817/0226</v>
          </cell>
          <cell r="I7" t="str">
            <v>IN</v>
          </cell>
          <cell r="J7">
            <v>0.59747685185185184</v>
          </cell>
          <cell r="K7" t="str">
            <v>PH#4 CHP CONTROL ROOM IN2</v>
          </cell>
          <cell r="L7" t="str">
            <v>JSR - Tata Steel Ltd</v>
          </cell>
        </row>
        <row r="8">
          <cell r="A8" t="str">
            <v>RW0218129961</v>
          </cell>
          <cell r="B8" t="str">
            <v>0009178144</v>
          </cell>
          <cell r="C8" t="str">
            <v>APURBA KUMAR MAHATO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TSP/882824/0226</v>
          </cell>
          <cell r="I8" t="str">
            <v>IN</v>
          </cell>
          <cell r="J8">
            <v>0.32225694444444447</v>
          </cell>
          <cell r="K8" t="str">
            <v>PH#4 CHP CONTROL ROOM IN2</v>
          </cell>
          <cell r="L8" t="str">
            <v>JSR - Tata Steel Ltd</v>
          </cell>
        </row>
        <row r="9">
          <cell r="A9" t="str">
            <v>RW0403000921</v>
          </cell>
          <cell r="B9" t="str">
            <v>0004082771</v>
          </cell>
          <cell r="C9" t="str">
            <v>MANMOHAN PRASAD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TSP/882813/0226</v>
          </cell>
          <cell r="I9" t="str">
            <v>IN</v>
          </cell>
          <cell r="J9">
            <v>0.35973379629629632</v>
          </cell>
          <cell r="K9" t="str">
            <v>PH#4 CHP CONTROL ROOM IN 1</v>
          </cell>
          <cell r="L9" t="str">
            <v>JSR - Tata Steel Ltd</v>
          </cell>
        </row>
        <row r="10">
          <cell r="A10" t="str">
            <v>RW0512133959</v>
          </cell>
          <cell r="B10" t="str">
            <v>0013643899</v>
          </cell>
          <cell r="C10" t="str">
            <v>SUJIT KUMAR SINGH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TSP/882814/0226</v>
          </cell>
          <cell r="I10" t="str">
            <v>IN</v>
          </cell>
          <cell r="J10">
            <v>0.34942129629629631</v>
          </cell>
          <cell r="K10" t="str">
            <v>FMM CP&amp;EMS IN</v>
          </cell>
          <cell r="L10" t="str">
            <v>JSR - Tata Steel Ltd</v>
          </cell>
        </row>
        <row r="11">
          <cell r="A11" t="str">
            <v>RW0608113053</v>
          </cell>
          <cell r="B11" t="str">
            <v>0009203758</v>
          </cell>
          <cell r="C11" t="str">
            <v>RAJESH PRADHAN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TSP/882826/0226</v>
          </cell>
          <cell r="I11" t="str">
            <v>IN</v>
          </cell>
          <cell r="J11">
            <v>0.31015046296296295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RW0621276455</v>
          </cell>
          <cell r="B12" t="str">
            <v>0014164901</v>
          </cell>
          <cell r="C12" t="str">
            <v>SUBHANDU MANDAL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TSP/882821/0226</v>
          </cell>
          <cell r="I12" t="str">
            <v>IN</v>
          </cell>
          <cell r="J12">
            <v>0.36140046296296297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RW0623791155</v>
          </cell>
          <cell r="B13" t="str">
            <v>0009230149</v>
          </cell>
          <cell r="C13" t="str">
            <v>TATA VANKAT RAO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TSP/882815/0226</v>
          </cell>
          <cell r="I13" t="str">
            <v>IN</v>
          </cell>
          <cell r="J13">
            <v>0.25412037037037039</v>
          </cell>
          <cell r="K13" t="str">
            <v>PH#4 CHP CONTROL ROOM IN2</v>
          </cell>
          <cell r="L13" t="str">
            <v>JSR - Tata Steel Ltd</v>
          </cell>
        </row>
        <row r="14">
          <cell r="A14" t="str">
            <v>RW0807096365</v>
          </cell>
          <cell r="B14" t="str">
            <v>0009286626</v>
          </cell>
          <cell r="C14" t="str">
            <v>NIPEN CHANDRA SUKUL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TSP/882843/0226</v>
          </cell>
          <cell r="I14" t="str">
            <v>IN</v>
          </cell>
          <cell r="J14">
            <v>0.32684027777777774</v>
          </cell>
          <cell r="K14" t="str">
            <v>AF SGP IN</v>
          </cell>
          <cell r="L14" t="str">
            <v>JSR - Tata Steel Ltd</v>
          </cell>
        </row>
        <row r="15">
          <cell r="A15" t="str">
            <v>RW0822573453</v>
          </cell>
          <cell r="B15" t="str">
            <v>0014187726</v>
          </cell>
          <cell r="C15" t="str">
            <v>RATAN MAHATO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TSP/882839/0226</v>
          </cell>
          <cell r="I15" t="str">
            <v>IN</v>
          </cell>
          <cell r="J15">
            <v>0.31762731481481482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RW0907097796</v>
          </cell>
          <cell r="B16" t="str">
            <v>0013604685</v>
          </cell>
          <cell r="C16" t="str">
            <v>ASHOK ROY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TSP/882823/0226</v>
          </cell>
          <cell r="I16" t="str">
            <v>IN</v>
          </cell>
          <cell r="J16">
            <v>0.57546296296296295</v>
          </cell>
          <cell r="K16" t="str">
            <v>PH#4 CHP CONTROL ROOM IN2</v>
          </cell>
          <cell r="L16" t="str">
            <v>JSR - Tata Steel Ltd</v>
          </cell>
        </row>
        <row r="17">
          <cell r="A17" t="str">
            <v>RW0911182377</v>
          </cell>
          <cell r="B17" t="str">
            <v>0014159469</v>
          </cell>
          <cell r="C17" t="str">
            <v>CHHOTU LOHRA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TSP/919171/0326</v>
          </cell>
          <cell r="I17" t="str">
            <v>IN</v>
          </cell>
          <cell r="J17">
            <v>0.3331365740740741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RW0916154862</v>
          </cell>
          <cell r="B18" t="str">
            <v>0009170471</v>
          </cell>
          <cell r="C18" t="str">
            <v>SHIV SHANKAR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TSP/912046/0326</v>
          </cell>
          <cell r="I18" t="str">
            <v>IN</v>
          </cell>
          <cell r="J18">
            <v>0.34359953703703705</v>
          </cell>
          <cell r="K18" t="str">
            <v>M/C OUT SIDE TOOL ROOM IN</v>
          </cell>
          <cell r="L18" t="str">
            <v>JSR - Tata Steel Ltd</v>
          </cell>
        </row>
        <row r="19">
          <cell r="A19" t="str">
            <v>RW1011186925</v>
          </cell>
          <cell r="B19" t="str">
            <v>0009171074</v>
          </cell>
          <cell r="C19" t="str">
            <v>ANIL KUMAR VERMA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TSP/919172/0326</v>
          </cell>
          <cell r="I19" t="str">
            <v>IN</v>
          </cell>
          <cell r="J19">
            <v>0.34380787037037036</v>
          </cell>
          <cell r="K19" t="str">
            <v>M/C OUT SIDE TOOL ROOM IN</v>
          </cell>
          <cell r="L19" t="str">
            <v>JSR - Tata Steel Ltd</v>
          </cell>
        </row>
        <row r="20">
          <cell r="A20" t="str">
            <v>RW1019191001</v>
          </cell>
          <cell r="B20" t="str">
            <v>0009169997</v>
          </cell>
          <cell r="C20" t="str">
            <v>CHITARANJAN SHARMA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TSP/886965/0326</v>
          </cell>
          <cell r="I20" t="str">
            <v>IN</v>
          </cell>
          <cell r="J20">
            <v>0.33298611111111115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RW1103005471</v>
          </cell>
          <cell r="B21" t="str">
            <v>0014173748</v>
          </cell>
          <cell r="C21" t="str">
            <v>NASIR ALI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TSP/882811/0226</v>
          </cell>
          <cell r="I21" t="str">
            <v>IN</v>
          </cell>
          <cell r="J21">
            <v>0.33975694444444443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RW1103006020</v>
          </cell>
          <cell r="B22" t="str">
            <v>0014158133</v>
          </cell>
          <cell r="C22" t="str">
            <v>BRAHMANAND MAHAPATRA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TSP/852300/0226</v>
          </cell>
          <cell r="I22" t="str">
            <v>IN</v>
          </cell>
          <cell r="J22">
            <v>0.9059490740740741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RW1110162302</v>
          </cell>
          <cell r="B23" t="str">
            <v>0013556522</v>
          </cell>
          <cell r="C23" t="str">
            <v>CHITTA RANJAN MAHATO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TSP/882812/0226</v>
          </cell>
          <cell r="I23" t="str">
            <v>IN</v>
          </cell>
          <cell r="J23">
            <v>0.34749999999999998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RW1204027584</v>
          </cell>
          <cell r="B24" t="str">
            <v>0009234884</v>
          </cell>
          <cell r="C24" t="str">
            <v>BALVINDAR SINGH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TSP/868846/0226</v>
          </cell>
          <cell r="I24" t="str">
            <v>IN</v>
          </cell>
          <cell r="J24">
            <v>0.36224537037037036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RW1223956402</v>
          </cell>
          <cell r="B25" t="str">
            <v>0009014911</v>
          </cell>
          <cell r="C25" t="str">
            <v>KARAN KUMAR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TSP/882822/0226</v>
          </cell>
          <cell r="I25" t="str">
            <v>IN</v>
          </cell>
          <cell r="J25">
            <v>0.35730324074074077</v>
          </cell>
          <cell r="K25" t="str">
            <v>PH#4 CHP CONTROL ROOM IN2</v>
          </cell>
          <cell r="L25" t="str">
            <v>JSR - Tata Steel Ltd</v>
          </cell>
        </row>
        <row r="26">
          <cell r="A26" t="str">
            <v>VD0722561172</v>
          </cell>
          <cell r="B26" t="str">
            <v>0000117476</v>
          </cell>
          <cell r="C26" t="str">
            <v>RUPESH KUMAR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TSP/882819/0226</v>
          </cell>
          <cell r="I26" t="str">
            <v>IN</v>
          </cell>
          <cell r="J26">
            <v>0.24424768518518516</v>
          </cell>
          <cell r="K26" t="str">
            <v>AGENCY-SEC-BIOMETRIC -READER-8(PH#3)- IN</v>
          </cell>
          <cell r="L26" t="str">
            <v>JSR - Tata Steel Ltd</v>
          </cell>
        </row>
        <row r="27">
          <cell r="A27" t="str">
            <v>VW0123649596</v>
          </cell>
          <cell r="B27" t="str">
            <v>0009241248</v>
          </cell>
          <cell r="C27" t="str">
            <v>ABHISHEK BIRULI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TSP/882827/0226</v>
          </cell>
          <cell r="I27" t="str">
            <v>IN</v>
          </cell>
          <cell r="J27">
            <v>0.35656249999999995</v>
          </cell>
          <cell r="K27" t="str">
            <v>FMM CP&amp;EMS IN</v>
          </cell>
          <cell r="L27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0.72952546296296295</v>
          </cell>
        </row>
        <row r="5">
          <cell r="A5" t="str">
            <v>RD0918134974</v>
          </cell>
          <cell r="B5">
            <v>0.25516203703703705</v>
          </cell>
        </row>
        <row r="6">
          <cell r="A6" t="str">
            <v>RD1203000744</v>
          </cell>
          <cell r="B6">
            <v>0.25188657407407405</v>
          </cell>
        </row>
        <row r="7">
          <cell r="A7" t="str">
            <v>RS0604000979</v>
          </cell>
          <cell r="B7">
            <v>0.25217592592592591</v>
          </cell>
        </row>
        <row r="8">
          <cell r="A8" t="str">
            <v>RW0105038642</v>
          </cell>
          <cell r="B8">
            <v>0.72934027777777777</v>
          </cell>
        </row>
        <row r="9">
          <cell r="A9" t="str">
            <v>RW0204008111</v>
          </cell>
          <cell r="B9">
            <v>0.91689814814814818</v>
          </cell>
        </row>
        <row r="10">
          <cell r="A10" t="str">
            <v>RW0218129961</v>
          </cell>
          <cell r="B10">
            <v>0.70937499999999998</v>
          </cell>
        </row>
        <row r="11">
          <cell r="A11" t="str">
            <v>RW0403000921</v>
          </cell>
          <cell r="B11">
            <v>0.73268518518518511</v>
          </cell>
        </row>
        <row r="12">
          <cell r="A12" t="str">
            <v>RW0512133959</v>
          </cell>
          <cell r="B12">
            <v>0.73435185185185192</v>
          </cell>
        </row>
        <row r="13">
          <cell r="A13" t="str">
            <v>RW0608113053</v>
          </cell>
          <cell r="B13">
            <v>0.72994212962962957</v>
          </cell>
        </row>
        <row r="14">
          <cell r="A14" t="str">
            <v>RW0621276455</v>
          </cell>
          <cell r="B14">
            <v>0.72918981481481471</v>
          </cell>
        </row>
        <row r="15">
          <cell r="A15" t="str">
            <v>RW0623791155</v>
          </cell>
          <cell r="B15">
            <v>0.58358796296296289</v>
          </cell>
        </row>
        <row r="16">
          <cell r="A16" t="str">
            <v>RW0723808557</v>
          </cell>
          <cell r="B16">
            <v>0.25175925925925929</v>
          </cell>
        </row>
        <row r="17">
          <cell r="A17" t="str">
            <v>RW0807096365</v>
          </cell>
          <cell r="B17">
            <v>0.79175925925925927</v>
          </cell>
        </row>
        <row r="18">
          <cell r="A18" t="str">
            <v>RW0822573453</v>
          </cell>
          <cell r="B18">
            <v>0.7095717592592593</v>
          </cell>
        </row>
        <row r="19">
          <cell r="A19" t="str">
            <v>RW0907097796</v>
          </cell>
          <cell r="B19">
            <v>0.91675925925925927</v>
          </cell>
        </row>
        <row r="20">
          <cell r="A20" t="str">
            <v>RW0911182377</v>
          </cell>
          <cell r="B20">
            <v>0.73427083333333332</v>
          </cell>
        </row>
        <row r="21">
          <cell r="A21" t="str">
            <v>RW0916154862</v>
          </cell>
          <cell r="B21">
            <v>0.729375</v>
          </cell>
        </row>
        <row r="22">
          <cell r="A22" t="str">
            <v>RW1011186925</v>
          </cell>
          <cell r="B22">
            <v>0.73258101851851853</v>
          </cell>
        </row>
        <row r="23">
          <cell r="A23" t="str">
            <v>RW1019191001</v>
          </cell>
          <cell r="B23">
            <v>0.73410879629629633</v>
          </cell>
        </row>
        <row r="24">
          <cell r="A24" t="str">
            <v>RW1103005471</v>
          </cell>
          <cell r="B24">
            <v>0.72921296296296301</v>
          </cell>
        </row>
        <row r="25">
          <cell r="A25" t="str">
            <v>RW1110162302</v>
          </cell>
          <cell r="B25">
            <v>0.72979166666666673</v>
          </cell>
        </row>
        <row r="26">
          <cell r="A26" t="str">
            <v>RW1204027584</v>
          </cell>
          <cell r="B26">
            <v>0.72949074074074083</v>
          </cell>
        </row>
        <row r="27">
          <cell r="A27" t="str">
            <v>RW1223956402</v>
          </cell>
          <cell r="B27">
            <v>0.72964120370370367</v>
          </cell>
        </row>
        <row r="28">
          <cell r="A28" t="str">
            <v>VD0722561172</v>
          </cell>
          <cell r="B28">
            <v>0.70993055555555562</v>
          </cell>
        </row>
        <row r="29">
          <cell r="A29" t="str">
            <v>VW0123649596</v>
          </cell>
          <cell r="B29">
            <v>0.73008101851851848</v>
          </cell>
        </row>
        <row r="30">
          <cell r="A30" t="str">
            <v>VW0123657591</v>
          </cell>
          <cell r="B30">
            <v>0.70975694444444448</v>
          </cell>
        </row>
        <row r="31">
          <cell r="A31" t="str">
            <v>(blank)</v>
          </cell>
        </row>
        <row r="32">
          <cell r="A32" t="str">
            <v>Grand Total</v>
          </cell>
          <cell r="B32">
            <v>0.91689814814814818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RD0918134974</v>
          </cell>
          <cell r="B2" t="str">
            <v>0009224194</v>
          </cell>
          <cell r="C2" t="str">
            <v>NALIN MAHATO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TSP/882820/0226</v>
          </cell>
          <cell r="I2" t="str">
            <v>IN</v>
          </cell>
          <cell r="J2">
            <v>0.77824074074074068</v>
          </cell>
          <cell r="K2" t="str">
            <v>AGENCY-SEC-BIOMETRIC -READER-9(PH#3)- IN</v>
          </cell>
          <cell r="L2" t="str">
            <v>JSR - Tata Steel Ltd</v>
          </cell>
        </row>
        <row r="3">
          <cell r="A3" t="str">
            <v>RD1203000744</v>
          </cell>
          <cell r="B3" t="str">
            <v>0004529569</v>
          </cell>
          <cell r="C3" t="str">
            <v>RAJU KALINDI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TSP/868847/0226</v>
          </cell>
          <cell r="I3" t="str">
            <v>IN</v>
          </cell>
          <cell r="J3">
            <v>0.79194444444444445</v>
          </cell>
          <cell r="K3" t="str">
            <v>FMM CP&amp;EMS IN</v>
          </cell>
          <cell r="L3" t="str">
            <v>JSR - Tata Steel Ltd</v>
          </cell>
        </row>
        <row r="4">
          <cell r="A4" t="str">
            <v>RS0604000979</v>
          </cell>
          <cell r="B4" t="str">
            <v>0013594906</v>
          </cell>
          <cell r="C4" t="str">
            <v>RAKESH KUMAR SINGH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TSP/882842/0226</v>
          </cell>
          <cell r="I4" t="str">
            <v>IN</v>
          </cell>
          <cell r="J4">
            <v>0.9076157407407407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RW0105038642</v>
          </cell>
          <cell r="B5" t="str">
            <v>0009289525</v>
          </cell>
          <cell r="C5" t="str">
            <v>NAND LAL TIU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TSP/882844/0226</v>
          </cell>
          <cell r="I5" t="str">
            <v>IN</v>
          </cell>
          <cell r="J5">
            <v>0.34032407407407406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0.34278935185185189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RW0204008111</v>
          </cell>
          <cell r="B7" t="str">
            <v>0014160176</v>
          </cell>
          <cell r="C7" t="str">
            <v>BASUDEO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TSP/882817/0226</v>
          </cell>
          <cell r="I7" t="str">
            <v>IN</v>
          </cell>
          <cell r="J7">
            <v>0.59004629629629635</v>
          </cell>
          <cell r="K7" t="str">
            <v>PH#4 CHP CONTROL ROOM IN2</v>
          </cell>
          <cell r="L7" t="str">
            <v>JSR - Tata Steel Ltd</v>
          </cell>
        </row>
        <row r="8">
          <cell r="A8" t="str">
            <v>RW0218129961</v>
          </cell>
          <cell r="B8" t="str">
            <v>0009178144</v>
          </cell>
          <cell r="C8" t="str">
            <v>APURBA KUMAR MAHATO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TSP/882824/0226</v>
          </cell>
          <cell r="I8" t="str">
            <v>IN</v>
          </cell>
          <cell r="J8">
            <v>0.33577546296296296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RW0305045827</v>
          </cell>
          <cell r="B9" t="str">
            <v>0009244505</v>
          </cell>
          <cell r="C9" t="str">
            <v>LAXMAN BHADUK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TSP/882818/0226</v>
          </cell>
          <cell r="I9" t="str">
            <v>IN</v>
          </cell>
          <cell r="J9">
            <v>0.32487268518518519</v>
          </cell>
          <cell r="K9" t="str">
            <v>PH#4 CHP CONTROL ROOM IN2</v>
          </cell>
          <cell r="L9" t="str">
            <v>JSR - Tata Steel Ltd</v>
          </cell>
        </row>
        <row r="10">
          <cell r="A10" t="str">
            <v>RW0403000921</v>
          </cell>
          <cell r="B10" t="str">
            <v>0004082771</v>
          </cell>
          <cell r="C10" t="str">
            <v>MANMOHAN PRASAD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TSP/882813/0226</v>
          </cell>
          <cell r="I10" t="str">
            <v>IN</v>
          </cell>
          <cell r="J10">
            <v>0.3550462962962963</v>
          </cell>
          <cell r="K10" t="str">
            <v>PH#4 CHP CONTROL ROOM IN 1</v>
          </cell>
          <cell r="L10" t="str">
            <v>JSR - Tata Steel Ltd</v>
          </cell>
        </row>
        <row r="11">
          <cell r="A11" t="str">
            <v>RW0512133959</v>
          </cell>
          <cell r="B11" t="str">
            <v>0013643899</v>
          </cell>
          <cell r="C11" t="str">
            <v>SUJIT KUMAR SINGH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TSP/882814/0226</v>
          </cell>
          <cell r="I11" t="str">
            <v>IN</v>
          </cell>
          <cell r="J11">
            <v>0.35538194444444443</v>
          </cell>
          <cell r="K11" t="str">
            <v>PH#4 CHP CONTROL ROOM IN2</v>
          </cell>
          <cell r="L11" t="str">
            <v>JSR - Tata Steel Ltd</v>
          </cell>
        </row>
        <row r="12">
          <cell r="A12" t="str">
            <v>RW0608113053</v>
          </cell>
          <cell r="B12" t="str">
            <v>0009203758</v>
          </cell>
          <cell r="C12" t="str">
            <v>RAJESH PRADHAN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TSP/882826/0226</v>
          </cell>
          <cell r="I12" t="str">
            <v>IN</v>
          </cell>
          <cell r="J12">
            <v>0.33859953703703699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RW0621276455</v>
          </cell>
          <cell r="B13" t="str">
            <v>0014164901</v>
          </cell>
          <cell r="C13" t="str">
            <v>SUBHANDU MANDAL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TSP/882821/0226</v>
          </cell>
          <cell r="I13" t="str">
            <v>IN</v>
          </cell>
          <cell r="J13">
            <v>0.35386574074074079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RW0623791155</v>
          </cell>
          <cell r="B14" t="str">
            <v>0009230149</v>
          </cell>
          <cell r="C14" t="str">
            <v>TATA VANKAT RAO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TSP/882815/0226</v>
          </cell>
          <cell r="I14" t="str">
            <v>IN</v>
          </cell>
          <cell r="J14">
            <v>0.27311342592592591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RW0723808557</v>
          </cell>
          <cell r="B15" t="str">
            <v>0014188176</v>
          </cell>
          <cell r="C15" t="str">
            <v>VISHAL HASDA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TSP/886967/0326</v>
          </cell>
          <cell r="I15" t="str">
            <v>IN</v>
          </cell>
          <cell r="J15">
            <v>0.5704745370370371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RW0807096365</v>
          </cell>
          <cell r="B16" t="str">
            <v>0009286626</v>
          </cell>
          <cell r="C16" t="str">
            <v>NIPEN CHANDRA SUKUL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TSP/882843/0226</v>
          </cell>
          <cell r="I16" t="str">
            <v>IN</v>
          </cell>
          <cell r="J16">
            <v>0.3271296296296296</v>
          </cell>
          <cell r="K16" t="str">
            <v>AF SGP IN</v>
          </cell>
          <cell r="L16" t="str">
            <v>JSR - Tata Steel Ltd</v>
          </cell>
        </row>
        <row r="17">
          <cell r="A17" t="str">
            <v>RW0822573453</v>
          </cell>
          <cell r="B17" t="str">
            <v>0014187726</v>
          </cell>
          <cell r="C17" t="str">
            <v>RATAN MAHATO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TSP/882839/0226</v>
          </cell>
          <cell r="I17" t="str">
            <v>IN</v>
          </cell>
          <cell r="J17">
            <v>0.31917824074074075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RW0907097796</v>
          </cell>
          <cell r="B18" t="str">
            <v>0013604685</v>
          </cell>
          <cell r="C18" t="str">
            <v>ASHOK ROY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TSP/882823/0226</v>
          </cell>
          <cell r="I18" t="str">
            <v>IN</v>
          </cell>
          <cell r="J18">
            <v>0.34783564814814816</v>
          </cell>
          <cell r="K18" t="str">
            <v>PH#4 CHP CONTROL ROOM IN 1</v>
          </cell>
          <cell r="L18" t="str">
            <v>JSR - Tata Steel Ltd</v>
          </cell>
        </row>
        <row r="19">
          <cell r="A19" t="str">
            <v>RW0911182377</v>
          </cell>
          <cell r="B19" t="str">
            <v>0014159469</v>
          </cell>
          <cell r="C19" t="str">
            <v>CHHOTU LOHRA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TSP/919171/0326</v>
          </cell>
          <cell r="I19" t="str">
            <v>IN</v>
          </cell>
          <cell r="J19">
            <v>0.33621527777777777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RW0916154862</v>
          </cell>
          <cell r="B20" t="str">
            <v>0009170471</v>
          </cell>
          <cell r="C20" t="str">
            <v>SHIV SHANKAR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TSP/912046/0326</v>
          </cell>
          <cell r="I20" t="str">
            <v>IN</v>
          </cell>
          <cell r="J20">
            <v>0.33202546296296293</v>
          </cell>
          <cell r="K20" t="str">
            <v>KERELA SAMAJ(west Bokaro) IN</v>
          </cell>
          <cell r="L20" t="str">
            <v>JSR - Tata Steel Ltd</v>
          </cell>
        </row>
        <row r="21">
          <cell r="A21" t="str">
            <v>RW1011186925</v>
          </cell>
          <cell r="B21" t="str">
            <v>0009171074</v>
          </cell>
          <cell r="C21" t="str">
            <v>ANIL KUMAR VERMA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TSP/919172/0326</v>
          </cell>
          <cell r="I21" t="str">
            <v>IN</v>
          </cell>
          <cell r="J21">
            <v>0.35180555555555554</v>
          </cell>
          <cell r="K21" t="str">
            <v>M/C OUT SIDE TOOL ROOM IN</v>
          </cell>
          <cell r="L21" t="str">
            <v>JSR - Tata Steel Ltd</v>
          </cell>
        </row>
        <row r="22">
          <cell r="A22" t="str">
            <v>RW1019191001</v>
          </cell>
          <cell r="B22" t="str">
            <v>0009169997</v>
          </cell>
          <cell r="C22" t="str">
            <v>CHITARANJAN SHARMA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TSP/886965/0326</v>
          </cell>
          <cell r="I22" t="str">
            <v>IN</v>
          </cell>
          <cell r="J22">
            <v>0.33609953703703704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RW1103005471</v>
          </cell>
          <cell r="B23" t="str">
            <v>0014173748</v>
          </cell>
          <cell r="C23" t="str">
            <v>NASIR ALI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TSP/882811/0226</v>
          </cell>
          <cell r="I23" t="str">
            <v>IN</v>
          </cell>
          <cell r="J23">
            <v>0.33877314814814818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RW1103006020</v>
          </cell>
          <cell r="B24" t="str">
            <v>0014158133</v>
          </cell>
          <cell r="C24" t="str">
            <v>BRAHMANAND MAHAPATRA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TSP/852300/0226</v>
          </cell>
          <cell r="I24" t="str">
            <v>IN</v>
          </cell>
          <cell r="J24">
            <v>0.90738425925925925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RW1110162302</v>
          </cell>
          <cell r="B25" t="str">
            <v>0013556522</v>
          </cell>
          <cell r="C25" t="str">
            <v>CHITTA RANJAN MAHATO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TSP/882812/0226</v>
          </cell>
          <cell r="I25" t="str">
            <v>IN</v>
          </cell>
          <cell r="J25">
            <v>0.34827546296296297</v>
          </cell>
          <cell r="K25" t="str">
            <v>FMM CP&amp;EMS IN</v>
          </cell>
          <cell r="L25" t="str">
            <v>JSR - Tata Steel Ltd</v>
          </cell>
        </row>
        <row r="26">
          <cell r="A26" t="str">
            <v>RW1204027584</v>
          </cell>
          <cell r="B26" t="str">
            <v>0009234884</v>
          </cell>
          <cell r="C26" t="str">
            <v>BALVINDAR SINGH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TSP/868846/0226</v>
          </cell>
          <cell r="I26" t="str">
            <v>IN</v>
          </cell>
          <cell r="J26">
            <v>0.36290509259259257</v>
          </cell>
          <cell r="K26" t="str">
            <v>FMM CP&amp;EMS IN</v>
          </cell>
          <cell r="L26" t="str">
            <v>JSR - Tata Steel Ltd</v>
          </cell>
        </row>
        <row r="27">
          <cell r="A27" t="str">
            <v>RW1223956402</v>
          </cell>
          <cell r="B27" t="str">
            <v>0009014911</v>
          </cell>
          <cell r="C27" t="str">
            <v>KARAN KUMAR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TSP/882822/0226</v>
          </cell>
          <cell r="I27" t="str">
            <v>IN</v>
          </cell>
          <cell r="J27">
            <v>0.3606712962962963</v>
          </cell>
          <cell r="K27" t="str">
            <v>Safety office IN</v>
          </cell>
          <cell r="L27" t="str">
            <v>JSR - Tata Steel Ltd</v>
          </cell>
        </row>
        <row r="28">
          <cell r="A28" t="str">
            <v>VD0722561172</v>
          </cell>
          <cell r="B28" t="str">
            <v>0000117476</v>
          </cell>
          <cell r="C28" t="str">
            <v>RUPESH KUMAR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TSP/882819/0226</v>
          </cell>
          <cell r="I28" t="str">
            <v>IN</v>
          </cell>
          <cell r="J28">
            <v>0.24378472222222222</v>
          </cell>
          <cell r="K28" t="str">
            <v>AGENCY-SEC-BIOMETRIC -READER-8(PH#3)- IN</v>
          </cell>
          <cell r="L28" t="str">
            <v>JSR - Tata Steel Ltd</v>
          </cell>
        </row>
        <row r="29">
          <cell r="A29" t="str">
            <v>VW0123649596</v>
          </cell>
          <cell r="B29" t="str">
            <v>0009241248</v>
          </cell>
          <cell r="C29" t="str">
            <v>ABHISHEK BIRULI</v>
          </cell>
          <cell r="D29" t="str">
            <v>B445</v>
          </cell>
          <cell r="E29" t="str">
            <v>BECO ENGINEERS</v>
          </cell>
          <cell r="F29" t="str">
            <v>FM MECH-INFRA</v>
          </cell>
          <cell r="G29">
            <v>4700150601</v>
          </cell>
          <cell r="H29" t="str">
            <v>TSP/882827/0226</v>
          </cell>
          <cell r="I29" t="str">
            <v>IN</v>
          </cell>
          <cell r="J29">
            <v>0.36232638888888885</v>
          </cell>
          <cell r="K29" t="str">
            <v>FMM CP&amp;EMS IN</v>
          </cell>
          <cell r="L29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RD0918134974</v>
          </cell>
          <cell r="B4">
            <v>0.25407407407407406</v>
          </cell>
        </row>
        <row r="5">
          <cell r="A5" t="str">
            <v>RD1203000744</v>
          </cell>
          <cell r="B5">
            <v>0.25306712962962963</v>
          </cell>
        </row>
        <row r="6">
          <cell r="A6" t="str">
            <v>RS0604000979</v>
          </cell>
          <cell r="B6">
            <v>0.25055555555555559</v>
          </cell>
        </row>
        <row r="7">
          <cell r="A7" t="str">
            <v>RW0105038642</v>
          </cell>
          <cell r="B7">
            <v>0.72946759259259253</v>
          </cell>
        </row>
        <row r="8">
          <cell r="A8" t="str">
            <v>RW0204008111</v>
          </cell>
          <cell r="B8">
            <v>0.91765046296296304</v>
          </cell>
        </row>
        <row r="9">
          <cell r="A9" t="str">
            <v>RW0218129961</v>
          </cell>
          <cell r="B9">
            <v>0.7088310185185186</v>
          </cell>
        </row>
        <row r="10">
          <cell r="A10" t="str">
            <v>RW0305045827</v>
          </cell>
          <cell r="B10">
            <v>0.79799768518518521</v>
          </cell>
        </row>
        <row r="11">
          <cell r="A11" t="str">
            <v>RW0403000921</v>
          </cell>
          <cell r="B11">
            <v>0.72924768518518512</v>
          </cell>
        </row>
        <row r="12">
          <cell r="A12" t="str">
            <v>RW0512133959</v>
          </cell>
          <cell r="B12">
            <v>0.72971064814814823</v>
          </cell>
        </row>
        <row r="13">
          <cell r="A13" t="str">
            <v>RW0608113053</v>
          </cell>
          <cell r="B13">
            <v>0.72979166666666673</v>
          </cell>
        </row>
        <row r="14">
          <cell r="A14" t="str">
            <v>RW0621276455</v>
          </cell>
          <cell r="B14">
            <v>0.72923611111111108</v>
          </cell>
        </row>
        <row r="15">
          <cell r="A15" t="str">
            <v>RW0623791155</v>
          </cell>
          <cell r="B15">
            <v>0.58343749999999994</v>
          </cell>
        </row>
        <row r="16">
          <cell r="A16" t="str">
            <v>RW0723808557</v>
          </cell>
          <cell r="B16">
            <v>0.91771990740740739</v>
          </cell>
        </row>
        <row r="17">
          <cell r="A17" t="str">
            <v>RW0807096365</v>
          </cell>
          <cell r="B17">
            <v>0.7978587962962963</v>
          </cell>
        </row>
        <row r="18">
          <cell r="A18" t="str">
            <v>RW0822573453</v>
          </cell>
          <cell r="B18">
            <v>0.70862268518518512</v>
          </cell>
        </row>
        <row r="19">
          <cell r="A19" t="str">
            <v>RW0907097796</v>
          </cell>
          <cell r="B19">
            <v>0.72931712962962969</v>
          </cell>
        </row>
        <row r="20">
          <cell r="A20" t="str">
            <v>RW0911182377</v>
          </cell>
          <cell r="B20">
            <v>0.72961805555555559</v>
          </cell>
        </row>
        <row r="21">
          <cell r="A21" t="str">
            <v>RW0916154862</v>
          </cell>
          <cell r="B21">
            <v>0.74238425925925933</v>
          </cell>
        </row>
        <row r="22">
          <cell r="A22" t="str">
            <v>RW1011186925</v>
          </cell>
          <cell r="B22">
            <v>0.72954861111111102</v>
          </cell>
        </row>
        <row r="23">
          <cell r="A23" t="str">
            <v>RW1019191001</v>
          </cell>
          <cell r="B23">
            <v>0.72940972222222233</v>
          </cell>
        </row>
        <row r="24">
          <cell r="A24" t="str">
            <v>RW1103005471</v>
          </cell>
          <cell r="B24">
            <v>0.72930555555555554</v>
          </cell>
        </row>
        <row r="25">
          <cell r="A25" t="str">
            <v>RW1103006020</v>
          </cell>
          <cell r="B25">
            <v>0.25041666666666668</v>
          </cell>
        </row>
        <row r="26">
          <cell r="A26" t="str">
            <v>RW1110162302</v>
          </cell>
          <cell r="B26">
            <v>0.72950231481481476</v>
          </cell>
        </row>
        <row r="27">
          <cell r="A27" t="str">
            <v>RW1204027584</v>
          </cell>
          <cell r="B27">
            <v>0.72966435185185186</v>
          </cell>
        </row>
        <row r="28">
          <cell r="A28" t="str">
            <v>RW1223956402</v>
          </cell>
          <cell r="B28">
            <v>0.72965277777777782</v>
          </cell>
        </row>
        <row r="29">
          <cell r="A29" t="str">
            <v>VD0722561172</v>
          </cell>
          <cell r="B29">
            <v>0.71589120370370374</v>
          </cell>
        </row>
        <row r="30">
          <cell r="A30" t="str">
            <v>VW0123649596</v>
          </cell>
          <cell r="B30">
            <v>0.7298958333333333</v>
          </cell>
        </row>
        <row r="31">
          <cell r="A31" t="str">
            <v>Grand Total</v>
          </cell>
          <cell r="B31">
            <v>0.91771990740740739</v>
          </cell>
        </row>
      </sheetData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0.35427083333333331</v>
          </cell>
          <cell r="K2" t="str">
            <v>FMM CP&amp;EMS IN</v>
          </cell>
          <cell r="L2" t="str">
            <v>JSR - Tata Steel Ltd</v>
          </cell>
        </row>
        <row r="3">
          <cell r="A3" t="str">
            <v>RD1203000744</v>
          </cell>
          <cell r="B3" t="str">
            <v>0004529569</v>
          </cell>
          <cell r="C3" t="str">
            <v>RAJU KALINDI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TSP/868847/0226</v>
          </cell>
          <cell r="I3" t="str">
            <v>IN</v>
          </cell>
          <cell r="J3">
            <v>0.78273148148148142</v>
          </cell>
          <cell r="K3" t="str">
            <v>FMM CP&amp;EMS IN</v>
          </cell>
          <cell r="L3" t="str">
            <v>JSR - Tata Steel Ltd</v>
          </cell>
        </row>
        <row r="4">
          <cell r="A4" t="str">
            <v>RS0604000979</v>
          </cell>
          <cell r="B4" t="str">
            <v>0013594906</v>
          </cell>
          <cell r="C4" t="str">
            <v>RAKESH KUMAR SINGH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TSP/882842/0226</v>
          </cell>
          <cell r="I4" t="str">
            <v>IN</v>
          </cell>
          <cell r="J4">
            <v>0.90729166666666661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RW0105038642</v>
          </cell>
          <cell r="B5" t="str">
            <v>0009289525</v>
          </cell>
          <cell r="C5" t="str">
            <v>NAND LAL TIU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TSP/882844/0226</v>
          </cell>
          <cell r="I5" t="str">
            <v>IN</v>
          </cell>
          <cell r="J5">
            <v>0.33584490740740741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0.33687500000000004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RW0204008111</v>
          </cell>
          <cell r="B7" t="str">
            <v>0014160176</v>
          </cell>
          <cell r="C7" t="str">
            <v>BASUDEO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TSP/882817/0226</v>
          </cell>
          <cell r="I7" t="str">
            <v>IN</v>
          </cell>
          <cell r="J7">
            <v>0.59193287037037035</v>
          </cell>
          <cell r="K7" t="str">
            <v>PH#4 CHP CONTROL ROOM IN2</v>
          </cell>
          <cell r="L7" t="str">
            <v>JSR - Tata Steel Ltd</v>
          </cell>
        </row>
        <row r="8">
          <cell r="A8" t="str">
            <v>RW0218129961</v>
          </cell>
          <cell r="B8" t="str">
            <v>0009178144</v>
          </cell>
          <cell r="C8" t="str">
            <v>APURBA KUMAR MAHATO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TSP/882824/0226</v>
          </cell>
          <cell r="I8" t="str">
            <v>IN</v>
          </cell>
          <cell r="J8">
            <v>0.32306712962962963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RW0305045827</v>
          </cell>
          <cell r="B9" t="str">
            <v>0009244505</v>
          </cell>
          <cell r="C9" t="str">
            <v>LAXMAN BHADUK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TSP/882818/0226</v>
          </cell>
          <cell r="I9" t="str">
            <v>IN</v>
          </cell>
          <cell r="J9">
            <v>0.78618055555555555</v>
          </cell>
          <cell r="K9" t="str">
            <v>PH#4 CHP CONTROL ROOM IN2</v>
          </cell>
          <cell r="L9" t="str">
            <v>JSR - Tata Steel Ltd</v>
          </cell>
        </row>
        <row r="10">
          <cell r="A10" t="str">
            <v>RW0403000921</v>
          </cell>
          <cell r="B10" t="str">
            <v>0004082771</v>
          </cell>
          <cell r="C10" t="str">
            <v>MANMOHAN PRASAD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TSP/882813/0226</v>
          </cell>
          <cell r="I10" t="str">
            <v>IN</v>
          </cell>
          <cell r="J10">
            <v>0.35488425925925932</v>
          </cell>
          <cell r="K10" t="str">
            <v>RDCRMTLAB-IN</v>
          </cell>
          <cell r="L10" t="str">
            <v>JSR - Tata Steel Ltd</v>
          </cell>
        </row>
        <row r="11">
          <cell r="A11" t="str">
            <v>RW0512133959</v>
          </cell>
          <cell r="B11" t="str">
            <v>0013643899</v>
          </cell>
          <cell r="C11" t="str">
            <v>SUJIT KUMAR SINGH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TSP/882814/0226</v>
          </cell>
          <cell r="I11" t="str">
            <v>IN</v>
          </cell>
          <cell r="J11">
            <v>0.35971064814814818</v>
          </cell>
          <cell r="K11" t="str">
            <v>M/C OUT SIDE TOOL ROOM IN</v>
          </cell>
          <cell r="L11" t="str">
            <v>JSR - Tata Steel Ltd</v>
          </cell>
        </row>
        <row r="12">
          <cell r="A12" t="str">
            <v>RW0608113053</v>
          </cell>
          <cell r="B12" t="str">
            <v>0009203758</v>
          </cell>
          <cell r="C12" t="str">
            <v>RAJESH PRADHAN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TSP/882826/0226</v>
          </cell>
          <cell r="I12" t="str">
            <v>IN</v>
          </cell>
          <cell r="J12">
            <v>0.32599537037037035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RW0621276455</v>
          </cell>
          <cell r="B13" t="str">
            <v>0014164901</v>
          </cell>
          <cell r="C13" t="str">
            <v>SUBHANDU MANDAL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TSP/882821/0226</v>
          </cell>
          <cell r="I13" t="str">
            <v>IN</v>
          </cell>
          <cell r="J13">
            <v>0.36001157407407408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RW0623791155</v>
          </cell>
          <cell r="B14" t="str">
            <v>0009230149</v>
          </cell>
          <cell r="C14" t="str">
            <v>TATA VANKAT RAO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TSP/882815/0226</v>
          </cell>
          <cell r="I14" t="str">
            <v>IN</v>
          </cell>
          <cell r="J14">
            <v>0.25236111111111109</v>
          </cell>
          <cell r="K14" t="str">
            <v>PH#4 CHP CONTROL ROOM IN2</v>
          </cell>
          <cell r="L14" t="str">
            <v>JSR - Tata Steel Ltd</v>
          </cell>
        </row>
        <row r="15">
          <cell r="A15" t="str">
            <v>RW0723808557</v>
          </cell>
          <cell r="B15" t="str">
            <v>0014188176</v>
          </cell>
          <cell r="C15" t="str">
            <v>VISHAL HASDA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TSP/886967/0326</v>
          </cell>
          <cell r="I15" t="str">
            <v>IN</v>
          </cell>
          <cell r="J15">
            <v>0.57671296296296293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RW0807096365</v>
          </cell>
          <cell r="B16" t="str">
            <v>0009286626</v>
          </cell>
          <cell r="C16" t="str">
            <v>NIPEN CHANDRA SUKUL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TSP/882843/0226</v>
          </cell>
          <cell r="I16" t="str">
            <v>IN</v>
          </cell>
          <cell r="J16">
            <v>0.32590277777777776</v>
          </cell>
          <cell r="K16" t="str">
            <v>AF SGP IN</v>
          </cell>
          <cell r="L16" t="str">
            <v>JSR - Tata Steel Ltd</v>
          </cell>
        </row>
        <row r="17">
          <cell r="A17" t="str">
            <v>RW0822573453</v>
          </cell>
          <cell r="B17" t="str">
            <v>0014187726</v>
          </cell>
          <cell r="C17" t="str">
            <v>RATAN MAHATO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TSP/882839/0226</v>
          </cell>
          <cell r="I17" t="str">
            <v>IN</v>
          </cell>
          <cell r="J17">
            <v>0.32861111111111113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RW0907097796</v>
          </cell>
          <cell r="B18" t="str">
            <v>0013604685</v>
          </cell>
          <cell r="C18" t="str">
            <v>ASHOK ROY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TSP/882823/0226</v>
          </cell>
          <cell r="I18" t="str">
            <v>IN</v>
          </cell>
          <cell r="J18">
            <v>0.57724537037037038</v>
          </cell>
          <cell r="K18" t="str">
            <v>PH#4 CHP CONTROL ROOM IN2</v>
          </cell>
          <cell r="L18" t="str">
            <v>JSR - Tata Steel Ltd</v>
          </cell>
        </row>
        <row r="19">
          <cell r="A19" t="str">
            <v>RW0911182377</v>
          </cell>
          <cell r="B19" t="str">
            <v>0014159469</v>
          </cell>
          <cell r="C19" t="str">
            <v>CHHOTU LOHRA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TSP/919171/0326</v>
          </cell>
          <cell r="I19" t="str">
            <v>IN</v>
          </cell>
          <cell r="J19">
            <v>0.32317129629629632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RW0916154862</v>
          </cell>
          <cell r="B20" t="str">
            <v>0009170471</v>
          </cell>
          <cell r="C20" t="str">
            <v>SHIV SHANKAR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TSP/912046/0326</v>
          </cell>
          <cell r="I20" t="str">
            <v>IN</v>
          </cell>
          <cell r="J20">
            <v>0.34697916666666667</v>
          </cell>
          <cell r="K20" t="str">
            <v>PH#4 CHP CONTROL ROOM IN 1</v>
          </cell>
          <cell r="L20" t="str">
            <v>JSR - Tata Steel Ltd</v>
          </cell>
        </row>
        <row r="21">
          <cell r="A21" t="str">
            <v>RW1011186925</v>
          </cell>
          <cell r="B21" t="str">
            <v>0009171074</v>
          </cell>
          <cell r="C21" t="str">
            <v>ANIL KUMAR VERMA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TSP/919172/0326</v>
          </cell>
          <cell r="I21" t="str">
            <v>IN</v>
          </cell>
          <cell r="J21">
            <v>0.35005787037037034</v>
          </cell>
          <cell r="K21" t="str">
            <v>M/C OUT SIDE TOOL ROOM IN</v>
          </cell>
          <cell r="L21" t="str">
            <v>JSR - Tata Steel Ltd</v>
          </cell>
        </row>
        <row r="22">
          <cell r="A22" t="str">
            <v>RW1019191001</v>
          </cell>
          <cell r="B22" t="str">
            <v>0009169997</v>
          </cell>
          <cell r="C22" t="str">
            <v>CHITARANJAN SHARMA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TSP/886965/0326</v>
          </cell>
          <cell r="I22" t="str">
            <v>IN</v>
          </cell>
          <cell r="J22">
            <v>0.32326388888888885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RW1103006020</v>
          </cell>
          <cell r="B23" t="str">
            <v>0014158133</v>
          </cell>
          <cell r="C23" t="str">
            <v>BRAHMANAND MAHAPATRA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TSP/980543/0426</v>
          </cell>
          <cell r="I23" t="str">
            <v>IN</v>
          </cell>
          <cell r="J23">
            <v>0.90711805555555547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RW1110162302</v>
          </cell>
          <cell r="B24" t="str">
            <v>0013556522</v>
          </cell>
          <cell r="C24" t="str">
            <v>CHITTA RANJAN MAHATO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TSP/882812/0226</v>
          </cell>
          <cell r="I24" t="str">
            <v>IN</v>
          </cell>
          <cell r="J24">
            <v>0.35013888888888883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RW1204027584</v>
          </cell>
          <cell r="B25" t="str">
            <v>0009234884</v>
          </cell>
          <cell r="C25" t="str">
            <v>BALVINDAR SINGH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TSP/868846/0226</v>
          </cell>
          <cell r="I25" t="str">
            <v>IN</v>
          </cell>
          <cell r="J25">
            <v>0.3608912037037037</v>
          </cell>
          <cell r="K25" t="str">
            <v>FMM CP&amp;EMS IN</v>
          </cell>
          <cell r="L25" t="str">
            <v>JSR - Tata Steel Ltd</v>
          </cell>
        </row>
        <row r="26">
          <cell r="A26" t="str">
            <v>VD0722561172</v>
          </cell>
          <cell r="B26" t="str">
            <v>0000117476</v>
          </cell>
          <cell r="C26" t="str">
            <v>RUPESH KUMAR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TSP/882819/0226</v>
          </cell>
          <cell r="I26" t="str">
            <v>IN</v>
          </cell>
          <cell r="J26">
            <v>0.24849537037037037</v>
          </cell>
          <cell r="K26" t="str">
            <v>AGENCY-SEC-BIOMETRIC -READER-8(PH#3)- IN</v>
          </cell>
          <cell r="L26" t="str">
            <v>JSR - Tata Steel Ltd</v>
          </cell>
        </row>
        <row r="27">
          <cell r="A27" t="str">
            <v>VW0123649596</v>
          </cell>
          <cell r="B27" t="str">
            <v>0009241248</v>
          </cell>
          <cell r="C27" t="str">
            <v>ABHISHEK BIRULI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TSP/882827/0226</v>
          </cell>
          <cell r="I27" t="str">
            <v>IN</v>
          </cell>
          <cell r="J27">
            <v>0.36517361111111107</v>
          </cell>
          <cell r="K27" t="str">
            <v>FMM CP&amp;EMS IN</v>
          </cell>
          <cell r="L27" t="str">
            <v>JSR - Tata Steel Ltd</v>
          </cell>
        </row>
        <row r="28">
          <cell r="A28" t="str">
            <v>VW0123657591</v>
          </cell>
          <cell r="B28" t="str">
            <v>0013566588</v>
          </cell>
          <cell r="C28" t="str">
            <v>HINDU BESRA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TSP/882841/0226</v>
          </cell>
          <cell r="I28" t="str">
            <v>IN</v>
          </cell>
          <cell r="J28">
            <v>0.32664351851851853</v>
          </cell>
          <cell r="K28" t="str">
            <v>BPH Check House IN</v>
          </cell>
          <cell r="L28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0.72991898148148149</v>
          </cell>
        </row>
        <row r="5">
          <cell r="A5" t="str">
            <v>RD0918134974</v>
          </cell>
          <cell r="B5">
            <v>0.2555324074074074</v>
          </cell>
        </row>
        <row r="6">
          <cell r="A6" t="str">
            <v>RD1203000744</v>
          </cell>
          <cell r="B6">
            <v>0.25194444444444447</v>
          </cell>
        </row>
        <row r="7">
          <cell r="A7" t="str">
            <v>RS0604000979</v>
          </cell>
          <cell r="B7">
            <v>0.25019675925925927</v>
          </cell>
        </row>
        <row r="8">
          <cell r="A8" t="str">
            <v>RW0105038642</v>
          </cell>
          <cell r="B8">
            <v>0.72953703703703709</v>
          </cell>
        </row>
        <row r="9">
          <cell r="A9" t="str">
            <v>RW0204008111</v>
          </cell>
          <cell r="B9">
            <v>0.9030555555555555</v>
          </cell>
        </row>
        <row r="10">
          <cell r="A10" t="str">
            <v>RW0218129961</v>
          </cell>
          <cell r="B10">
            <v>0.70909722222222227</v>
          </cell>
        </row>
        <row r="11">
          <cell r="A11" t="str">
            <v>RW0403000921</v>
          </cell>
          <cell r="B11">
            <v>0.72934027777777777</v>
          </cell>
        </row>
        <row r="12">
          <cell r="A12" t="str">
            <v>RW0512133959</v>
          </cell>
          <cell r="B12">
            <v>0.73582175925925919</v>
          </cell>
        </row>
        <row r="13">
          <cell r="A13" t="str">
            <v>RW0608113053</v>
          </cell>
          <cell r="B13">
            <v>0.72947916666666668</v>
          </cell>
        </row>
        <row r="14">
          <cell r="A14" t="str">
            <v>RW0621276455</v>
          </cell>
          <cell r="B14">
            <v>0.72921296296296301</v>
          </cell>
        </row>
        <row r="15">
          <cell r="A15" t="str">
            <v>RW0623791155</v>
          </cell>
          <cell r="B15">
            <v>0.58339120370370368</v>
          </cell>
        </row>
        <row r="16">
          <cell r="A16" t="str">
            <v>RW0723808557</v>
          </cell>
          <cell r="B16">
            <v>0.9167939814814815</v>
          </cell>
        </row>
        <row r="17">
          <cell r="A17" t="str">
            <v>RW0807096365</v>
          </cell>
          <cell r="B17">
            <v>0.75861111111111112</v>
          </cell>
        </row>
        <row r="18">
          <cell r="A18" t="str">
            <v>RW0822573453</v>
          </cell>
          <cell r="B18">
            <v>0.7088078703703703</v>
          </cell>
        </row>
        <row r="19">
          <cell r="A19" t="str">
            <v>RW0907097796</v>
          </cell>
          <cell r="B19">
            <v>0.91692129629629626</v>
          </cell>
        </row>
        <row r="20">
          <cell r="A20" t="str">
            <v>RW0911182377</v>
          </cell>
          <cell r="B20">
            <v>0.72950231481481476</v>
          </cell>
        </row>
        <row r="21">
          <cell r="A21" t="str">
            <v>RW0916154862</v>
          </cell>
          <cell r="B21">
            <v>0.73084490740740737</v>
          </cell>
        </row>
        <row r="22">
          <cell r="A22" t="str">
            <v>RW1011186925</v>
          </cell>
          <cell r="B22">
            <v>0.72957175925925932</v>
          </cell>
        </row>
        <row r="23">
          <cell r="A23" t="str">
            <v>RW1019191001</v>
          </cell>
          <cell r="B23">
            <v>0.72942129629629626</v>
          </cell>
        </row>
        <row r="24">
          <cell r="A24" t="str">
            <v>RW1103006020</v>
          </cell>
          <cell r="B24">
            <v>0.25004629629629632</v>
          </cell>
        </row>
        <row r="25">
          <cell r="A25" t="str">
            <v>RW1110162302</v>
          </cell>
          <cell r="B25">
            <v>0.72931712962962969</v>
          </cell>
        </row>
        <row r="26">
          <cell r="A26" t="str">
            <v>RW1204027584</v>
          </cell>
          <cell r="B26">
            <v>0.72972222222222216</v>
          </cell>
        </row>
        <row r="27">
          <cell r="A27" t="str">
            <v>VD0722561172</v>
          </cell>
          <cell r="B27">
            <v>0.70920138888888884</v>
          </cell>
        </row>
        <row r="28">
          <cell r="A28" t="str">
            <v>VW0123649596</v>
          </cell>
          <cell r="B28">
            <v>0.72960648148148144</v>
          </cell>
        </row>
        <row r="29">
          <cell r="A29" t="str">
            <v>VW0123657591</v>
          </cell>
          <cell r="B29">
            <v>0.70871527777777776</v>
          </cell>
        </row>
        <row r="30">
          <cell r="A30" t="str">
            <v>(blank)</v>
          </cell>
        </row>
        <row r="31">
          <cell r="A31" t="str">
            <v>Grand Total</v>
          </cell>
          <cell r="B31">
            <v>0.91692129629629626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0.34556712962962965</v>
          </cell>
          <cell r="K2" t="str">
            <v>AGENCY-SEC-BIOMETRIC -READER-8(PH#3)- IN</v>
          </cell>
          <cell r="L2" t="str">
            <v>JSR - Tata Steel Ltd</v>
          </cell>
        </row>
        <row r="3">
          <cell r="A3" t="str">
            <v>JW0724246971</v>
          </cell>
          <cell r="B3" t="str">
            <v>0004306797</v>
          </cell>
          <cell r="C3" t="str">
            <v>NAVEEN KUMAR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TSP/886963/0326</v>
          </cell>
          <cell r="I3" t="str">
            <v>IN</v>
          </cell>
          <cell r="J3">
            <v>0.94410879629629629</v>
          </cell>
          <cell r="K3" t="str">
            <v>AGENCY-SEC-BIOMETRIC -READER-9(PH#3)- IN</v>
          </cell>
          <cell r="L3" t="str">
            <v>JSR - Tata Steel Ltd</v>
          </cell>
        </row>
        <row r="4">
          <cell r="A4" t="str">
            <v>RD0918134974</v>
          </cell>
          <cell r="B4" t="str">
            <v>0009224194</v>
          </cell>
          <cell r="C4" t="str">
            <v>NALIN MAHATO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TSP/882820/0226</v>
          </cell>
          <cell r="I4" t="str">
            <v>IN</v>
          </cell>
          <cell r="J4">
            <v>0.33217592592592593</v>
          </cell>
          <cell r="K4" t="str">
            <v>LIME PLANT OLD TRIPPLER IN</v>
          </cell>
          <cell r="L4" t="str">
            <v>JSR - Tata Steel Ltd</v>
          </cell>
        </row>
        <row r="5">
          <cell r="A5" t="str">
            <v>RD1203000744</v>
          </cell>
          <cell r="B5" t="str">
            <v>0004529569</v>
          </cell>
          <cell r="C5" t="str">
            <v>RAJU KALINDI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TSP/868847/0226</v>
          </cell>
          <cell r="I5" t="str">
            <v>IN</v>
          </cell>
          <cell r="J5">
            <v>0.78092592592592591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0.34039351851851851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RW0218129961</v>
          </cell>
          <cell r="B7" t="str">
            <v>0009178144</v>
          </cell>
          <cell r="C7" t="str">
            <v>APURBA KUMAR MAHATO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TSP/882824/0226</v>
          </cell>
          <cell r="I7" t="str">
            <v>IN</v>
          </cell>
          <cell r="J7">
            <v>0.32993055555555556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RW0305045827</v>
          </cell>
          <cell r="B8" t="str">
            <v>0009244505</v>
          </cell>
          <cell r="C8" t="str">
            <v>LAXMAN BHADUK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TSP/882818/0226</v>
          </cell>
          <cell r="I8" t="str">
            <v>IN</v>
          </cell>
          <cell r="J8">
            <v>0.78954861111111108</v>
          </cell>
          <cell r="K8" t="str">
            <v>PH#4 CHP CONTROL ROOM IN 1</v>
          </cell>
          <cell r="L8" t="str">
            <v>JSR - Tata Steel Ltd</v>
          </cell>
        </row>
        <row r="9">
          <cell r="A9" t="str">
            <v>RW0403000921</v>
          </cell>
          <cell r="B9" t="str">
            <v>0004082771</v>
          </cell>
          <cell r="C9" t="str">
            <v>MANMOHAN PRASAD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TSP/882813/0226</v>
          </cell>
          <cell r="I9" t="str">
            <v>IN</v>
          </cell>
          <cell r="J9">
            <v>0.35934027777777783</v>
          </cell>
          <cell r="K9" t="str">
            <v>RDCRMTLAB-IN</v>
          </cell>
          <cell r="L9" t="str">
            <v>JSR - Tata Steel Ltd</v>
          </cell>
        </row>
        <row r="10">
          <cell r="A10" t="str">
            <v>RW0512133959</v>
          </cell>
          <cell r="B10" t="str">
            <v>0013643899</v>
          </cell>
          <cell r="C10" t="str">
            <v>SUJIT KUMAR SINGH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TSP/882814/0226</v>
          </cell>
          <cell r="I10" t="str">
            <v>IN</v>
          </cell>
          <cell r="J10">
            <v>0.36833333333333335</v>
          </cell>
          <cell r="K10" t="str">
            <v>FMM CP&amp;EMS IN</v>
          </cell>
          <cell r="L10" t="str">
            <v>JSR - Tata Steel Ltd</v>
          </cell>
        </row>
        <row r="11">
          <cell r="A11" t="str">
            <v>RW0608113053</v>
          </cell>
          <cell r="B11" t="str">
            <v>0009203758</v>
          </cell>
          <cell r="C11" t="str">
            <v>RAJESH PRADHAN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TSP/882826/0226</v>
          </cell>
          <cell r="I11" t="str">
            <v>IN</v>
          </cell>
          <cell r="J11">
            <v>0.34027777777777773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RW0621276455</v>
          </cell>
          <cell r="B12" t="str">
            <v>0014164901</v>
          </cell>
          <cell r="C12" t="str">
            <v>SUBHANDU MANDAL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TSP/882821/0226</v>
          </cell>
          <cell r="I12" t="str">
            <v>IN</v>
          </cell>
          <cell r="J12">
            <v>0.36141203703703706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RW0623791155</v>
          </cell>
          <cell r="B13" t="str">
            <v>0009230149</v>
          </cell>
          <cell r="C13" t="str">
            <v>TATA VANKAT RAO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TSP/882815/0226</v>
          </cell>
          <cell r="I13" t="str">
            <v>IN</v>
          </cell>
          <cell r="J13">
            <v>0.58596064814814819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RW0723808557</v>
          </cell>
          <cell r="B14" t="str">
            <v>0014188176</v>
          </cell>
          <cell r="C14" t="str">
            <v>VISHAL HASDA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TSP/886967/0326</v>
          </cell>
          <cell r="I14" t="str">
            <v>IN</v>
          </cell>
          <cell r="J14">
            <v>0.24664351851851851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RW0822573453</v>
          </cell>
          <cell r="B15" t="str">
            <v>0014187726</v>
          </cell>
          <cell r="C15" t="str">
            <v>RATAN MAHATO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TSP/882839/0226</v>
          </cell>
          <cell r="I15" t="str">
            <v>IN</v>
          </cell>
          <cell r="J15">
            <v>0.32386574074074076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RW0907097796</v>
          </cell>
          <cell r="B16" t="str">
            <v>0013604685</v>
          </cell>
          <cell r="C16" t="str">
            <v>ASHOK ROY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TSP/882823/0226</v>
          </cell>
          <cell r="I16" t="str">
            <v>IN</v>
          </cell>
          <cell r="J16">
            <v>0.57837962962962963</v>
          </cell>
          <cell r="K16" t="str">
            <v>PH#4 CHP CONTROL ROOM IN2</v>
          </cell>
          <cell r="L16" t="str">
            <v>JSR - Tata Steel Ltd</v>
          </cell>
        </row>
        <row r="17">
          <cell r="A17" t="str">
            <v>RW0911182377</v>
          </cell>
          <cell r="B17" t="str">
            <v>0014159469</v>
          </cell>
          <cell r="C17" t="str">
            <v>CHHOTU LOHRA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TSP/919171/0326</v>
          </cell>
          <cell r="I17" t="str">
            <v>IN</v>
          </cell>
          <cell r="J17">
            <v>0.33012731481481478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RW0916154862</v>
          </cell>
          <cell r="B18" t="str">
            <v>0009170471</v>
          </cell>
          <cell r="C18" t="str">
            <v>SHIV SHANKAR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TSP/912046/0326</v>
          </cell>
          <cell r="I18" t="str">
            <v>IN</v>
          </cell>
          <cell r="J18">
            <v>0.34359953703703705</v>
          </cell>
          <cell r="K18" t="str">
            <v>M/C OUT SIDE TOOL ROOM IN</v>
          </cell>
          <cell r="L18" t="str">
            <v>JSR - Tata Steel Ltd</v>
          </cell>
        </row>
        <row r="19">
          <cell r="A19" t="str">
            <v>RW1011186925</v>
          </cell>
          <cell r="B19" t="str">
            <v>0009171074</v>
          </cell>
          <cell r="C19" t="str">
            <v>ANIL KUMAR VERMA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TSP/919172/0326</v>
          </cell>
          <cell r="I19" t="str">
            <v>IN</v>
          </cell>
          <cell r="J19">
            <v>0.33549768518518519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RW1019191001</v>
          </cell>
          <cell r="B20" t="str">
            <v>0009169997</v>
          </cell>
          <cell r="C20" t="str">
            <v>CHITARANJAN SHARMA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TSP/886965/0326</v>
          </cell>
          <cell r="I20" t="str">
            <v>IN</v>
          </cell>
          <cell r="J20">
            <v>0.33001157407407405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RW1103005471</v>
          </cell>
          <cell r="B21" t="str">
            <v>0014173748</v>
          </cell>
          <cell r="C21" t="str">
            <v>NASIR ALI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TSP/882811/0226</v>
          </cell>
          <cell r="I21" t="str">
            <v>IN</v>
          </cell>
          <cell r="J21">
            <v>0.34958333333333336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RW1110162302</v>
          </cell>
          <cell r="B22" t="str">
            <v>0013556522</v>
          </cell>
          <cell r="C22" t="str">
            <v>CHITTA RANJAN MAHATO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TSP/882812/0226</v>
          </cell>
          <cell r="I22" t="str">
            <v>IN</v>
          </cell>
          <cell r="J22">
            <v>0.3482986111111111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RW1204027584</v>
          </cell>
          <cell r="B23" t="str">
            <v>0009234884</v>
          </cell>
          <cell r="C23" t="str">
            <v>BALVINDAR SINGH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TSP/868846/0226</v>
          </cell>
          <cell r="I23" t="str">
            <v>IN</v>
          </cell>
          <cell r="J23">
            <v>0.36283564814814812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VD0722561172</v>
          </cell>
          <cell r="B24" t="str">
            <v>0000117476</v>
          </cell>
          <cell r="C24" t="str">
            <v>RUPESH KUMAR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TSP/882819/0226</v>
          </cell>
          <cell r="I24" t="str">
            <v>IN</v>
          </cell>
          <cell r="J24">
            <v>0.24680555555555558</v>
          </cell>
          <cell r="K24" t="str">
            <v>AGENCY-SEC-BIOMETRIC -READER-8(PH#3)- IN</v>
          </cell>
          <cell r="L24" t="str">
            <v>JSR - Tata Steel Ltd</v>
          </cell>
        </row>
        <row r="25">
          <cell r="A25" t="str">
            <v>VW0123649596</v>
          </cell>
          <cell r="B25" t="str">
            <v>0009241248</v>
          </cell>
          <cell r="C25" t="str">
            <v>ABHISHEK BIRULI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TSP/882827/0226</v>
          </cell>
          <cell r="I25" t="str">
            <v>IN</v>
          </cell>
          <cell r="J25">
            <v>0.34547453703703707</v>
          </cell>
          <cell r="K25" t="str">
            <v>AGENCY-SEC-BIOMETRIC -READER-9(PH#3)- IN</v>
          </cell>
          <cell r="L25" t="str">
            <v>JSR - Tata Steel Ltd</v>
          </cell>
        </row>
        <row r="26">
          <cell r="A26" t="str">
            <v>VW0123657591</v>
          </cell>
          <cell r="B26" t="str">
            <v>0013566588</v>
          </cell>
          <cell r="C26" t="str">
            <v>HINDU BESRA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TSP/882841/0226</v>
          </cell>
          <cell r="I26" t="str">
            <v>IN</v>
          </cell>
          <cell r="J26">
            <v>0.31921296296296298</v>
          </cell>
          <cell r="K26" t="str">
            <v>AGENCY-SEC-BIOMETRIC -READER-9(PH#3)- IN</v>
          </cell>
          <cell r="L26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0.72945601851851849</v>
          </cell>
        </row>
        <row r="5">
          <cell r="A5" t="str">
            <v>RD0918134974</v>
          </cell>
          <cell r="B5">
            <v>0.79243055555555564</v>
          </cell>
        </row>
        <row r="6">
          <cell r="A6" t="str">
            <v>RD1203000744</v>
          </cell>
          <cell r="B6">
            <v>0.2509953703703704</v>
          </cell>
        </row>
        <row r="7">
          <cell r="A7" t="str">
            <v>RS0604000979</v>
          </cell>
          <cell r="B7">
            <v>0.25094907407407407</v>
          </cell>
        </row>
        <row r="8">
          <cell r="A8" t="str">
            <v>RW0105038642</v>
          </cell>
          <cell r="B8">
            <v>0.72932870370370362</v>
          </cell>
        </row>
        <row r="9">
          <cell r="A9" t="str">
            <v>RW0204008111</v>
          </cell>
          <cell r="B9">
            <v>0.91067129629629628</v>
          </cell>
        </row>
        <row r="10">
          <cell r="A10" t="str">
            <v>RW0218129961</v>
          </cell>
          <cell r="B10">
            <v>0.70908564814814812</v>
          </cell>
        </row>
        <row r="11">
          <cell r="A11" t="str">
            <v>RW0305045827</v>
          </cell>
          <cell r="B11">
            <v>0.25081018518518522</v>
          </cell>
        </row>
        <row r="12">
          <cell r="A12" t="str">
            <v>RW0403000921</v>
          </cell>
          <cell r="B12">
            <v>0.72936342592592596</v>
          </cell>
        </row>
        <row r="13">
          <cell r="A13" t="str">
            <v>RW0512133959</v>
          </cell>
          <cell r="B13">
            <v>0.72990740740740734</v>
          </cell>
        </row>
        <row r="14">
          <cell r="A14" t="str">
            <v>RW0608113053</v>
          </cell>
          <cell r="B14">
            <v>0.72952546296296295</v>
          </cell>
        </row>
        <row r="15">
          <cell r="A15" t="str">
            <v>RW0621276455</v>
          </cell>
          <cell r="B15">
            <v>0.72982638888888884</v>
          </cell>
        </row>
        <row r="16">
          <cell r="A16" t="str">
            <v>RW0623791155</v>
          </cell>
          <cell r="B16">
            <v>0.91053240740740737</v>
          </cell>
        </row>
        <row r="17">
          <cell r="A17" t="str">
            <v>RW0723808557</v>
          </cell>
          <cell r="B17">
            <v>0.58337962962962964</v>
          </cell>
        </row>
        <row r="18">
          <cell r="A18" t="str">
            <v>RW0822573453</v>
          </cell>
          <cell r="B18">
            <v>0.70922453703703703</v>
          </cell>
        </row>
        <row r="19">
          <cell r="A19" t="str">
            <v>RW0907097796</v>
          </cell>
          <cell r="B19">
            <v>0.91672453703703705</v>
          </cell>
        </row>
        <row r="20">
          <cell r="A20" t="str">
            <v>RW0911182377</v>
          </cell>
          <cell r="B20">
            <v>0.73232638888888879</v>
          </cell>
        </row>
        <row r="21">
          <cell r="A21" t="str">
            <v>RW0916154862</v>
          </cell>
          <cell r="B21">
            <v>0.73012731481481474</v>
          </cell>
        </row>
        <row r="22">
          <cell r="A22" t="str">
            <v>RW1011186925</v>
          </cell>
          <cell r="B22">
            <v>0.73223379629629637</v>
          </cell>
        </row>
        <row r="23">
          <cell r="A23" t="str">
            <v>RW1019191001</v>
          </cell>
          <cell r="B23">
            <v>0.73210648148148139</v>
          </cell>
        </row>
        <row r="24">
          <cell r="A24" t="str">
            <v>RW1103005471</v>
          </cell>
          <cell r="B24">
            <v>0.72920138888888886</v>
          </cell>
        </row>
        <row r="25">
          <cell r="A25" t="str">
            <v>RW1103006020</v>
          </cell>
          <cell r="B25">
            <v>0.25067129629629631</v>
          </cell>
        </row>
        <row r="26">
          <cell r="A26" t="str">
            <v>RW1110162302</v>
          </cell>
          <cell r="B26">
            <v>0.72971064814814823</v>
          </cell>
        </row>
        <row r="27">
          <cell r="A27" t="str">
            <v>RW1204027584</v>
          </cell>
          <cell r="B27">
            <v>0.72951388888888891</v>
          </cell>
        </row>
        <row r="28">
          <cell r="A28" t="str">
            <v>VD0722561172</v>
          </cell>
          <cell r="B28">
            <v>0.71273148148148147</v>
          </cell>
        </row>
        <row r="29">
          <cell r="A29" t="str">
            <v>VW0123649596</v>
          </cell>
          <cell r="B29">
            <v>0.72961805555555559</v>
          </cell>
        </row>
        <row r="30">
          <cell r="A30" t="str">
            <v>VW0123657591</v>
          </cell>
          <cell r="B30">
            <v>0.70942129629629624</v>
          </cell>
        </row>
        <row r="31">
          <cell r="A31" t="str">
            <v>(blank)</v>
          </cell>
        </row>
        <row r="32">
          <cell r="A32" t="str">
            <v>Grand Total</v>
          </cell>
          <cell r="B32">
            <v>0.91672453703703705</v>
          </cell>
        </row>
      </sheetData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RW0204008111</v>
          </cell>
          <cell r="B2" t="str">
            <v>0014160176</v>
          </cell>
          <cell r="C2" t="str">
            <v>BASUDEO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TSP/882817/0226</v>
          </cell>
          <cell r="I2" t="str">
            <v>IN</v>
          </cell>
          <cell r="J2">
            <v>0.61476851851851855</v>
          </cell>
          <cell r="K2" t="str">
            <v>PH#4 CHP CONTROL ROOM IN2</v>
          </cell>
          <cell r="L2" t="str">
            <v>JSR - Tata Steel Ltd</v>
          </cell>
        </row>
        <row r="3">
          <cell r="A3" t="str">
            <v>RW0218129961</v>
          </cell>
          <cell r="B3" t="str">
            <v>0009178144</v>
          </cell>
          <cell r="C3" t="str">
            <v>APURBA KUMAR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TSP/882824/0226</v>
          </cell>
          <cell r="I3" t="str">
            <v>IN</v>
          </cell>
          <cell r="J3">
            <v>0.32988425925925924</v>
          </cell>
          <cell r="K3" t="str">
            <v>FMM CP&amp;EMS IN</v>
          </cell>
          <cell r="L3" t="str">
            <v>JSR - Tata Steel Ltd</v>
          </cell>
        </row>
        <row r="4">
          <cell r="A4" t="str">
            <v>RW0305045827</v>
          </cell>
          <cell r="B4" t="str">
            <v>0009244505</v>
          </cell>
          <cell r="C4" t="str">
            <v>LAXMAN BHADUK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TSP/882818/0226</v>
          </cell>
          <cell r="I4" t="str">
            <v>IN</v>
          </cell>
          <cell r="J4">
            <v>0.78874999999999995</v>
          </cell>
          <cell r="K4" t="str">
            <v>PH#4 CHP CONTROL ROOM IN2</v>
          </cell>
          <cell r="L4" t="str">
            <v>JSR - Tata Steel Ltd</v>
          </cell>
        </row>
        <row r="5">
          <cell r="A5" t="str">
            <v>RW0512133959</v>
          </cell>
          <cell r="B5" t="str">
            <v>0013643899</v>
          </cell>
          <cell r="C5" t="str">
            <v>SUJIT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TSP/882814/0226</v>
          </cell>
          <cell r="I5" t="str">
            <v>IN</v>
          </cell>
          <cell r="J5">
            <v>0.35788194444444449</v>
          </cell>
          <cell r="K5" t="str">
            <v>PH#4 CHP CONTROL ROOM IN2</v>
          </cell>
          <cell r="L5" t="str">
            <v>JSR - Tata Steel Ltd</v>
          </cell>
        </row>
        <row r="6">
          <cell r="A6" t="str">
            <v>RW0623791155</v>
          </cell>
          <cell r="B6" t="str">
            <v>0009230149</v>
          </cell>
          <cell r="C6" t="str">
            <v>TATA VANKAT RAO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TSP/882815/0226</v>
          </cell>
          <cell r="I6" t="str">
            <v>IN</v>
          </cell>
          <cell r="J6">
            <v>0.56949074074074069</v>
          </cell>
          <cell r="K6" t="str">
            <v>PH#4 CHP CONTROL ROOM IN2</v>
          </cell>
          <cell r="L6" t="str">
            <v>JSR - Tata Steel Ltd</v>
          </cell>
        </row>
        <row r="7">
          <cell r="A7" t="str">
            <v>RW0723808557</v>
          </cell>
          <cell r="B7" t="str">
            <v>0014188176</v>
          </cell>
          <cell r="C7" t="str">
            <v>VISHAL HASDA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TSP/886967/0326</v>
          </cell>
          <cell r="I7" t="str">
            <v>IN</v>
          </cell>
          <cell r="J7">
            <v>0.24449074074074073</v>
          </cell>
          <cell r="K7" t="str">
            <v>PH#4 CHP CONTROL ROOM IN2</v>
          </cell>
          <cell r="L7" t="str">
            <v>JSR - Tata Steel Ltd</v>
          </cell>
        </row>
        <row r="8">
          <cell r="A8" t="str">
            <v>RW0807096365</v>
          </cell>
          <cell r="B8" t="str">
            <v>0009286626</v>
          </cell>
          <cell r="C8" t="str">
            <v>NIPEN CHANDRA SUKUL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TSP/882843/0226</v>
          </cell>
          <cell r="I8" t="str">
            <v>IN</v>
          </cell>
          <cell r="J8">
            <v>0.24869212962962961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RW0907097796</v>
          </cell>
          <cell r="B9" t="str">
            <v>0013604685</v>
          </cell>
          <cell r="C9" t="str">
            <v>ASHOK ROY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TSP/882823/0226</v>
          </cell>
          <cell r="I9" t="str">
            <v>IN</v>
          </cell>
          <cell r="J9">
            <v>0.35319444444444442</v>
          </cell>
          <cell r="K9" t="str">
            <v>PH#4 CHP CONTROL ROOM IN2</v>
          </cell>
          <cell r="L9" t="str">
            <v>JSR - Tata Steel Ltd</v>
          </cell>
        </row>
        <row r="10">
          <cell r="A10" t="str">
            <v>RW1103005471</v>
          </cell>
          <cell r="B10" t="str">
            <v>0014173748</v>
          </cell>
          <cell r="C10" t="str">
            <v>NASIR ALI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TSP/882811/0226</v>
          </cell>
          <cell r="I10" t="str">
            <v>IN</v>
          </cell>
          <cell r="J10">
            <v>0.33424768518518522</v>
          </cell>
          <cell r="K10" t="str">
            <v>FMM CP&amp;EMS IN</v>
          </cell>
          <cell r="L10" t="str">
            <v>JSR - Tata Steel Ltd</v>
          </cell>
        </row>
        <row r="11">
          <cell r="A11" t="str">
            <v>RW1103006020</v>
          </cell>
          <cell r="B11" t="str">
            <v>0014158133</v>
          </cell>
          <cell r="C11" t="str">
            <v>BRAHMANAND MAHAPATRA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TSP/980543/0426</v>
          </cell>
          <cell r="I11" t="str">
            <v>IN</v>
          </cell>
          <cell r="J11">
            <v>0.90537037037037038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RW1223956402</v>
          </cell>
          <cell r="B12" t="str">
            <v>0009014911</v>
          </cell>
          <cell r="C12" t="str">
            <v>KARAN KUMAR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TSP/882822/0226</v>
          </cell>
          <cell r="I12" t="str">
            <v>IN</v>
          </cell>
          <cell r="J12">
            <v>0.35857638888888888</v>
          </cell>
          <cell r="K12" t="str">
            <v>PH#4 CHP CONTROL ROOM IN2</v>
          </cell>
          <cell r="L12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0.25020833333333331</v>
          </cell>
        </row>
        <row r="5">
          <cell r="A5" t="str">
            <v>RD1203000744</v>
          </cell>
          <cell r="B5">
            <v>0.25049768518518517</v>
          </cell>
        </row>
        <row r="6">
          <cell r="A6" t="str">
            <v>RW0218129961</v>
          </cell>
          <cell r="B6">
            <v>0.71827546296296296</v>
          </cell>
        </row>
        <row r="7">
          <cell r="A7" t="str">
            <v>RW0305045827</v>
          </cell>
          <cell r="B7">
            <v>0.25072916666666667</v>
          </cell>
        </row>
        <row r="8">
          <cell r="A8" t="str">
            <v>RW0512133959</v>
          </cell>
          <cell r="B8">
            <v>0.72957175925925932</v>
          </cell>
        </row>
        <row r="9">
          <cell r="A9" t="str">
            <v>RW0623791155</v>
          </cell>
          <cell r="B9">
            <v>0.88436342592592598</v>
          </cell>
        </row>
        <row r="10">
          <cell r="A10" t="str">
            <v>RW0723808557</v>
          </cell>
          <cell r="B10">
            <v>0.58339120370370368</v>
          </cell>
        </row>
        <row r="11">
          <cell r="A11" t="str">
            <v>RW0807096365</v>
          </cell>
          <cell r="B11">
            <v>0.71289351851851857</v>
          </cell>
        </row>
        <row r="12">
          <cell r="A12" t="str">
            <v>RW0907097796</v>
          </cell>
          <cell r="B12">
            <v>0.72988425925925926</v>
          </cell>
        </row>
        <row r="13">
          <cell r="A13" t="str">
            <v>RW1103005471</v>
          </cell>
          <cell r="B13">
            <v>0.70835648148148145</v>
          </cell>
        </row>
        <row r="14">
          <cell r="A14" t="str">
            <v>RW1223956402</v>
          </cell>
          <cell r="B14">
            <v>0.72972222222222216</v>
          </cell>
        </row>
        <row r="15">
          <cell r="A15" t="str">
            <v>(blank)</v>
          </cell>
        </row>
        <row r="16">
          <cell r="A16" t="str">
            <v>Grand Total</v>
          </cell>
          <cell r="B16">
            <v>0.88436342592592598</v>
          </cell>
        </row>
      </sheetData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0.33201388888888889</v>
          </cell>
          <cell r="K2" t="str">
            <v>FMM CP&amp;EMS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0.33263888888888887</v>
          </cell>
          <cell r="K3" t="str">
            <v>LIME PLANT OLD TRIPPLER IN</v>
          </cell>
          <cell r="L3" t="str">
            <v>JSR - Tata Steel Ltd</v>
          </cell>
        </row>
        <row r="4">
          <cell r="A4" t="str">
            <v>RD1203000744</v>
          </cell>
          <cell r="B4" t="str">
            <v>0004529569</v>
          </cell>
          <cell r="C4" t="str">
            <v>RAJU KALINDI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TSP/868847/0226</v>
          </cell>
          <cell r="I4" t="str">
            <v>IN</v>
          </cell>
          <cell r="J4">
            <v>0.25807870370370373</v>
          </cell>
          <cell r="K4" t="str">
            <v>AF SGP IN</v>
          </cell>
          <cell r="L4" t="str">
            <v>JSR - Tata Steel Ltd</v>
          </cell>
        </row>
        <row r="5">
          <cell r="A5" t="str">
            <v>RS0604000979</v>
          </cell>
          <cell r="B5" t="str">
            <v>0013594906</v>
          </cell>
          <cell r="C5" t="str">
            <v>RAKESH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TSP/882842/0226</v>
          </cell>
          <cell r="I5" t="str">
            <v>IN</v>
          </cell>
          <cell r="J5">
            <v>0.41723379629629626</v>
          </cell>
          <cell r="K5" t="str">
            <v>PH#4 CHP CONTROL ROOM IN2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0.33751157407407412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RW0105038642</v>
          </cell>
          <cell r="B7" t="str">
            <v>0009289525</v>
          </cell>
          <cell r="C7" t="str">
            <v>NAND LAL TIU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TSP/882844/0226</v>
          </cell>
          <cell r="I7" t="str">
            <v>IN</v>
          </cell>
          <cell r="J7">
            <v>0.34052083333333333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RW0204008111</v>
          </cell>
          <cell r="B8" t="str">
            <v>0014160176</v>
          </cell>
          <cell r="C8" t="str">
            <v>BASUDEO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TSP/882817/0226</v>
          </cell>
          <cell r="I8" t="str">
            <v>IN</v>
          </cell>
          <cell r="J8">
            <v>0.60303240740740738</v>
          </cell>
          <cell r="K8" t="str">
            <v>PH#4 CHP CONTROL ROOM IN2</v>
          </cell>
          <cell r="L8" t="str">
            <v>JSR - Tata Steel Ltd</v>
          </cell>
        </row>
        <row r="9">
          <cell r="A9" t="str">
            <v>RW0305045827</v>
          </cell>
          <cell r="B9" t="str">
            <v>0009244505</v>
          </cell>
          <cell r="C9" t="str">
            <v>LAXMAN BHADUK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TSP/882818/0226</v>
          </cell>
          <cell r="I9" t="str">
            <v>IN</v>
          </cell>
          <cell r="J9">
            <v>0.78430555555555559</v>
          </cell>
          <cell r="K9" t="str">
            <v>PH#4 CHP CONTROL ROOM IN2</v>
          </cell>
          <cell r="L9" t="str">
            <v>JSR - Tata Steel Ltd</v>
          </cell>
        </row>
        <row r="10">
          <cell r="A10" t="str">
            <v>RW0403000921</v>
          </cell>
          <cell r="B10" t="str">
            <v>0004082771</v>
          </cell>
          <cell r="C10" t="str">
            <v>MANMOHAN PRASAD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TSP/882813/0226</v>
          </cell>
          <cell r="I10" t="str">
            <v>IN</v>
          </cell>
          <cell r="J10">
            <v>0.35237268518518516</v>
          </cell>
          <cell r="K10" t="str">
            <v>RDCRMTLAB-IN</v>
          </cell>
          <cell r="L10" t="str">
            <v>JSR - Tata Steel Ltd</v>
          </cell>
        </row>
        <row r="11">
          <cell r="A11" t="str">
            <v>RW0608113053</v>
          </cell>
          <cell r="B11" t="str">
            <v>0009203758</v>
          </cell>
          <cell r="C11" t="str">
            <v>RAJESH PRADHAN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TSP/882826/0226</v>
          </cell>
          <cell r="I11" t="str">
            <v>IN</v>
          </cell>
          <cell r="J11">
            <v>0.34636574074074072</v>
          </cell>
          <cell r="K11" t="str">
            <v>FMM CP&amp;EMS IN</v>
          </cell>
          <cell r="L11" t="str">
            <v>JSR - Tata Steel Ltd</v>
          </cell>
        </row>
        <row r="12">
          <cell r="A12" t="str">
            <v>RW0723808557</v>
          </cell>
          <cell r="B12" t="str">
            <v>0014188176</v>
          </cell>
          <cell r="C12" t="str">
            <v>VISHAL HASDA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TSP/886967/0326</v>
          </cell>
          <cell r="I12" t="str">
            <v>IN</v>
          </cell>
          <cell r="J12">
            <v>0.57429398148148147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RW0807096365</v>
          </cell>
          <cell r="B13" t="str">
            <v>0009286626</v>
          </cell>
          <cell r="C13" t="str">
            <v>NIPEN CHANDRA SUKUL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TSP/882843/0226</v>
          </cell>
          <cell r="I13" t="str">
            <v>IN</v>
          </cell>
          <cell r="J13">
            <v>0.78853009259259255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RW0822573453</v>
          </cell>
          <cell r="B14" t="str">
            <v>0014187726</v>
          </cell>
          <cell r="C14" t="str">
            <v>RATAN MAHATO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TSP/882839/0226</v>
          </cell>
          <cell r="I14" t="str">
            <v>IN</v>
          </cell>
          <cell r="J14">
            <v>0.29607638888888888</v>
          </cell>
          <cell r="K14" t="str">
            <v>AGENCY-SEC-BIOMETRIC -READER-8(PH#3)- IN</v>
          </cell>
          <cell r="L14" t="str">
            <v>JSR - Tata Steel Ltd</v>
          </cell>
        </row>
        <row r="15">
          <cell r="A15" t="str">
            <v>RW0822573453</v>
          </cell>
          <cell r="B15" t="str">
            <v>0014187726</v>
          </cell>
          <cell r="C15" t="str">
            <v>RATAN MAHATO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TSP/882839/0226</v>
          </cell>
          <cell r="I15" t="str">
            <v>IN</v>
          </cell>
          <cell r="J15">
            <v>0.32899305555555552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RW0907097796</v>
          </cell>
          <cell r="B16" t="str">
            <v>0013604685</v>
          </cell>
          <cell r="C16" t="str">
            <v>ASHOK ROY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TSP/882823/0226</v>
          </cell>
          <cell r="I16" t="str">
            <v>IN</v>
          </cell>
          <cell r="J16">
            <v>0.57908564814814811</v>
          </cell>
          <cell r="K16" t="str">
            <v>PH#4 CHP CONTROL ROOM IN2</v>
          </cell>
          <cell r="L16" t="str">
            <v>JSR - Tata Steel Ltd</v>
          </cell>
        </row>
        <row r="17">
          <cell r="A17" t="str">
            <v>RW0911182377</v>
          </cell>
          <cell r="B17" t="str">
            <v>0014159469</v>
          </cell>
          <cell r="C17" t="str">
            <v>CHHOTU LOHRA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TSP/919171/0326</v>
          </cell>
          <cell r="I17" t="str">
            <v>IN</v>
          </cell>
          <cell r="J17">
            <v>0.32960648148148147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RW0916154862</v>
          </cell>
          <cell r="B18" t="str">
            <v>0009170471</v>
          </cell>
          <cell r="C18" t="str">
            <v>SHIV SHANKAR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TSP/912046/0326</v>
          </cell>
          <cell r="I18" t="str">
            <v>IN</v>
          </cell>
          <cell r="J18">
            <v>0.34532407407407412</v>
          </cell>
          <cell r="K18" t="str">
            <v>M/C OUT SIDE TOOL ROOM IN</v>
          </cell>
          <cell r="L18" t="str">
            <v>JSR - Tata Steel Ltd</v>
          </cell>
        </row>
        <row r="19">
          <cell r="A19" t="str">
            <v>RW1011186925</v>
          </cell>
          <cell r="B19" t="str">
            <v>0009171074</v>
          </cell>
          <cell r="C19" t="str">
            <v>ANIL KUMAR VERMA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TSP/919172/0326</v>
          </cell>
          <cell r="I19" t="str">
            <v>IN</v>
          </cell>
          <cell r="J19">
            <v>0.34765046296296293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RW1019191001</v>
          </cell>
          <cell r="B20" t="str">
            <v>0009169997</v>
          </cell>
          <cell r="C20" t="str">
            <v>CHITARANJAN SHARMA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TSP/886965/0326</v>
          </cell>
          <cell r="I20" t="str">
            <v>IN</v>
          </cell>
          <cell r="J20">
            <v>0.32976851851851852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RW1103005471</v>
          </cell>
          <cell r="B21" t="str">
            <v>0014173748</v>
          </cell>
          <cell r="C21" t="str">
            <v>NASIR ALI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TSP/882811/0226</v>
          </cell>
          <cell r="I21" t="str">
            <v>IN</v>
          </cell>
          <cell r="J21">
            <v>0.34041666666666665</v>
          </cell>
          <cell r="K21" t="str">
            <v>FMM CP&amp;EMS IN</v>
          </cell>
          <cell r="L21" t="str">
            <v>JSR - Tata Steel Ltd</v>
          </cell>
        </row>
        <row r="22">
          <cell r="A22" t="str">
            <v>RW1103006020</v>
          </cell>
          <cell r="B22" t="str">
            <v>0014158133</v>
          </cell>
          <cell r="C22" t="str">
            <v>BRAHMANAND MAHAPATRA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TSP/980543/0426</v>
          </cell>
          <cell r="I22" t="str">
            <v>IN</v>
          </cell>
          <cell r="J22">
            <v>0.90648148148148155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RW1110162302</v>
          </cell>
          <cell r="B23" t="str">
            <v>0013556522</v>
          </cell>
          <cell r="C23" t="str">
            <v>CHITTA RANJAN MAHATO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TSP/882812/0226</v>
          </cell>
          <cell r="I23" t="str">
            <v>IN</v>
          </cell>
          <cell r="J23">
            <v>0.34781250000000002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RW1204027584</v>
          </cell>
          <cell r="B24" t="str">
            <v>0009234884</v>
          </cell>
          <cell r="C24" t="str">
            <v>BALVINDAR SINGH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TSP/868846/0226</v>
          </cell>
          <cell r="I24" t="str">
            <v>IN</v>
          </cell>
          <cell r="J24">
            <v>0.36283564814814812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RW1223956402</v>
          </cell>
          <cell r="B25" t="str">
            <v>0009014911</v>
          </cell>
          <cell r="C25" t="str">
            <v>KARAN KUMAR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TSP/882822/0226</v>
          </cell>
          <cell r="I25" t="str">
            <v>IN</v>
          </cell>
          <cell r="J25">
            <v>0.35766203703703708</v>
          </cell>
          <cell r="K25" t="str">
            <v>FMM CP&amp;EMS IN</v>
          </cell>
          <cell r="L25" t="str">
            <v>JSR - Tata Steel Ltd</v>
          </cell>
        </row>
        <row r="26">
          <cell r="A26" t="str">
            <v>VW0123657591</v>
          </cell>
          <cell r="B26" t="str">
            <v>0013566588</v>
          </cell>
          <cell r="C26" t="str">
            <v>HINDU BESRA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TSP/882841/0226</v>
          </cell>
          <cell r="I26" t="str">
            <v>IN</v>
          </cell>
          <cell r="J26">
            <v>0.30865740740740738</v>
          </cell>
          <cell r="K26" t="str">
            <v>AGENCY-SEC-BIOMETRIC -READER-8(PH#3)- IN</v>
          </cell>
          <cell r="L26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0.72951388888888891</v>
          </cell>
        </row>
        <row r="5">
          <cell r="A5" t="str">
            <v>RD0918134974</v>
          </cell>
          <cell r="B5">
            <v>0.79265046296296304</v>
          </cell>
        </row>
        <row r="6">
          <cell r="A6" t="str">
            <v>RD1203000744</v>
          </cell>
          <cell r="B6">
            <v>0.7093287037037036</v>
          </cell>
        </row>
        <row r="7">
          <cell r="A7" t="str">
            <v>RS0604000979</v>
          </cell>
          <cell r="B7">
            <v>0.79194444444444445</v>
          </cell>
        </row>
        <row r="8">
          <cell r="A8" t="str">
            <v>RW0105038642</v>
          </cell>
          <cell r="B8">
            <v>0.72946759259259253</v>
          </cell>
        </row>
        <row r="9">
          <cell r="A9" t="str">
            <v>RW0204008111</v>
          </cell>
          <cell r="B9">
            <v>0.91718749999999993</v>
          </cell>
        </row>
        <row r="10">
          <cell r="A10" t="str">
            <v>RW0305045827</v>
          </cell>
          <cell r="B10">
            <v>0.25214120370370369</v>
          </cell>
        </row>
        <row r="11">
          <cell r="A11" t="str">
            <v>RW0403000921</v>
          </cell>
          <cell r="B11">
            <v>0.72918981481481471</v>
          </cell>
        </row>
        <row r="12">
          <cell r="A12" t="str">
            <v>RW0608113053</v>
          </cell>
          <cell r="B12">
            <v>0.72931712962962969</v>
          </cell>
        </row>
        <row r="13">
          <cell r="A13" t="str">
            <v>RW0723808557</v>
          </cell>
          <cell r="B13">
            <v>0.91681712962962969</v>
          </cell>
        </row>
        <row r="14">
          <cell r="A14" t="str">
            <v>RW0822573453</v>
          </cell>
          <cell r="B14">
            <v>0.7085300925925927</v>
          </cell>
        </row>
        <row r="15">
          <cell r="A15" t="str">
            <v>RW0907097796</v>
          </cell>
          <cell r="B15">
            <v>0.91693287037037041</v>
          </cell>
        </row>
        <row r="16">
          <cell r="A16" t="str">
            <v>RW0911182377</v>
          </cell>
          <cell r="B16">
            <v>0.72932870370370362</v>
          </cell>
        </row>
        <row r="17">
          <cell r="A17" t="str">
            <v>RW0916154862</v>
          </cell>
          <cell r="B17">
            <v>0.72922453703703705</v>
          </cell>
        </row>
        <row r="18">
          <cell r="A18" t="str">
            <v>RW1011186925</v>
          </cell>
          <cell r="B18">
            <v>0.72939814814814818</v>
          </cell>
        </row>
        <row r="19">
          <cell r="A19" t="str">
            <v>RW1019191001</v>
          </cell>
          <cell r="B19">
            <v>0.72925925925925927</v>
          </cell>
        </row>
        <row r="20">
          <cell r="A20" t="str">
            <v>RW1103005471</v>
          </cell>
          <cell r="B20">
            <v>0.72934027777777777</v>
          </cell>
        </row>
        <row r="21">
          <cell r="A21" t="str">
            <v>RW1103006020</v>
          </cell>
          <cell r="B21">
            <v>0.2519791666666667</v>
          </cell>
        </row>
        <row r="22">
          <cell r="A22" t="str">
            <v>RW1110162302</v>
          </cell>
          <cell r="B22">
            <v>0.72966435185185186</v>
          </cell>
        </row>
        <row r="23">
          <cell r="A23" t="str">
            <v>RW1204027584</v>
          </cell>
          <cell r="B23">
            <v>0.84020833333333333</v>
          </cell>
        </row>
        <row r="24">
          <cell r="A24" t="str">
            <v>RW1223956402</v>
          </cell>
          <cell r="B24">
            <v>0.72939814814814818</v>
          </cell>
        </row>
        <row r="25">
          <cell r="A25" t="str">
            <v>VW0123657591</v>
          </cell>
          <cell r="B25">
            <v>0.70869212962962969</v>
          </cell>
        </row>
        <row r="26">
          <cell r="A26" t="str">
            <v>(blank)</v>
          </cell>
        </row>
        <row r="27">
          <cell r="A27" t="str">
            <v>Grand Total</v>
          </cell>
          <cell r="B27">
            <v>0.91718749999999993</v>
          </cell>
        </row>
      </sheetData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0.34451388888888884</v>
          </cell>
          <cell r="K2" t="str">
            <v>Procurement Refrectories store IN</v>
          </cell>
          <cell r="L2" t="str">
            <v>JSR - Tata Steel Ltd</v>
          </cell>
        </row>
        <row r="3">
          <cell r="A3" t="str">
            <v>RD0918134974</v>
          </cell>
          <cell r="B3" t="str">
            <v>0009224194</v>
          </cell>
          <cell r="C3" t="str">
            <v>NALIN MAHATO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TSP/882820/0226</v>
          </cell>
          <cell r="I3" t="str">
            <v>IN</v>
          </cell>
          <cell r="J3">
            <v>0.58038194444444446</v>
          </cell>
          <cell r="K3" t="str">
            <v>AGENCY-SEC-BIOMETRIC -READER-9(PH#3)- IN</v>
          </cell>
          <cell r="L3" t="str">
            <v>JSR - Tata Steel Ltd</v>
          </cell>
        </row>
        <row r="4">
          <cell r="A4" t="str">
            <v>RD1203000744</v>
          </cell>
          <cell r="B4" t="str">
            <v>0004529569</v>
          </cell>
          <cell r="C4" t="str">
            <v>RAJU KALINDI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TSP/868847/0226</v>
          </cell>
          <cell r="I4" t="str">
            <v>IN</v>
          </cell>
          <cell r="J4">
            <v>0.25591435185185185</v>
          </cell>
          <cell r="K4" t="str">
            <v>AF SGP IN</v>
          </cell>
          <cell r="L4" t="str">
            <v>JSR - Tata Steel Ltd</v>
          </cell>
        </row>
        <row r="5">
          <cell r="A5" t="str">
            <v>RS0604000979</v>
          </cell>
          <cell r="B5" t="str">
            <v>0013594906</v>
          </cell>
          <cell r="C5" t="str">
            <v>RAKESH KUMAR SINGH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TSP/882842/0226</v>
          </cell>
          <cell r="I5" t="str">
            <v>IN</v>
          </cell>
          <cell r="J5">
            <v>0.5740277777777778</v>
          </cell>
          <cell r="K5" t="str">
            <v>FMM CP&amp;EMS IN</v>
          </cell>
          <cell r="L5" t="str">
            <v>JSR - Tata Steel Ltd</v>
          </cell>
        </row>
        <row r="6">
          <cell r="A6" t="str">
            <v>RW0105038642</v>
          </cell>
          <cell r="B6" t="str">
            <v>0009289525</v>
          </cell>
          <cell r="C6" t="str">
            <v>NAND LAL TIU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TSP/882844/0226</v>
          </cell>
          <cell r="I6" t="str">
            <v>IN</v>
          </cell>
          <cell r="J6">
            <v>0.34530092592592593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RW0218129961</v>
          </cell>
          <cell r="B7" t="str">
            <v>0009178144</v>
          </cell>
          <cell r="C7" t="str">
            <v>APURBA KUMAR MAHATO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TSP/882824/0226</v>
          </cell>
          <cell r="I7" t="str">
            <v>IN</v>
          </cell>
          <cell r="J7">
            <v>0.33091435185185186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RW0305045827</v>
          </cell>
          <cell r="B8" t="str">
            <v>0009244505</v>
          </cell>
          <cell r="C8" t="str">
            <v>LAXMAN BHADUK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TSP/882818/0226</v>
          </cell>
          <cell r="I8" t="str">
            <v>IN</v>
          </cell>
          <cell r="J8">
            <v>0.41596064814814815</v>
          </cell>
          <cell r="K8" t="str">
            <v>PH#4 CHP CONTROL ROOM IN2</v>
          </cell>
          <cell r="L8" t="str">
            <v>JSR - Tata Steel Ltd</v>
          </cell>
        </row>
        <row r="9">
          <cell r="A9" t="str">
            <v>RW0305045827</v>
          </cell>
          <cell r="B9" t="str">
            <v>0009244505</v>
          </cell>
          <cell r="C9" t="str">
            <v>LAXMAN BHADUK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TSP/882818/0226</v>
          </cell>
          <cell r="I9" t="str">
            <v>IN</v>
          </cell>
          <cell r="J9">
            <v>0.89885416666666673</v>
          </cell>
          <cell r="K9" t="str">
            <v>M/C OUT SIDE TOOL ROOM IN</v>
          </cell>
          <cell r="L9" t="str">
            <v>JSR - Tata Steel Ltd</v>
          </cell>
        </row>
        <row r="10">
          <cell r="A10" t="str">
            <v>RW0403000921</v>
          </cell>
          <cell r="B10" t="str">
            <v>0004082771</v>
          </cell>
          <cell r="C10" t="str">
            <v>MANMOHAN PRASAD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TSP/882813/0226</v>
          </cell>
          <cell r="I10" t="str">
            <v>IN</v>
          </cell>
          <cell r="J10">
            <v>0.35708333333333336</v>
          </cell>
          <cell r="K10" t="str">
            <v>RDCRMTLAB-IN</v>
          </cell>
          <cell r="L10" t="str">
            <v>JSR - Tata Steel Ltd</v>
          </cell>
        </row>
        <row r="11">
          <cell r="A11" t="str">
            <v>RW0512133959</v>
          </cell>
          <cell r="B11" t="str">
            <v>0013643899</v>
          </cell>
          <cell r="C11" t="str">
            <v>SUJIT KUMAR SINGH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TSP/882814/0226</v>
          </cell>
          <cell r="I11" t="str">
            <v>IN</v>
          </cell>
          <cell r="J11">
            <v>0.35493055555555553</v>
          </cell>
          <cell r="K11" t="str">
            <v>Safety office IN</v>
          </cell>
          <cell r="L11" t="str">
            <v>JSR - Tata Steel Ltd</v>
          </cell>
        </row>
        <row r="12">
          <cell r="A12" t="str">
            <v>RW0623791155</v>
          </cell>
          <cell r="B12" t="str">
            <v>0009230149</v>
          </cell>
          <cell r="C12" t="str">
            <v>TATA VANKAT RAO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TSP/882815/0226</v>
          </cell>
          <cell r="I12" t="str">
            <v>IN</v>
          </cell>
          <cell r="J12">
            <v>0.57371527777777775</v>
          </cell>
          <cell r="K12" t="str">
            <v>FMM CP&amp;EMS IN</v>
          </cell>
          <cell r="L12" t="str">
            <v>JSR - Tata Steel Ltd</v>
          </cell>
        </row>
        <row r="13">
          <cell r="A13" t="str">
            <v>RW0723808557</v>
          </cell>
          <cell r="B13" t="str">
            <v>0014188176</v>
          </cell>
          <cell r="C13" t="str">
            <v>VISHAL HASDA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TSP/886967/0326</v>
          </cell>
          <cell r="I13" t="str">
            <v>IN</v>
          </cell>
          <cell r="J13">
            <v>0.24700231481481483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RW0807096365</v>
          </cell>
          <cell r="B14" t="str">
            <v>0009286626</v>
          </cell>
          <cell r="C14" t="str">
            <v>NIPEN CHANDRA SUKUL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TSP/882843/0226</v>
          </cell>
          <cell r="I14" t="str">
            <v>IN</v>
          </cell>
          <cell r="J14">
            <v>0.78993055555555547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RW0911182377</v>
          </cell>
          <cell r="B15" t="str">
            <v>0014159469</v>
          </cell>
          <cell r="C15" t="str">
            <v>CHHOTU LOHRA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TSP/919171/0326</v>
          </cell>
          <cell r="I15" t="str">
            <v>IN</v>
          </cell>
          <cell r="J15">
            <v>0.33675925925925926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RW0916154862</v>
          </cell>
          <cell r="B16" t="str">
            <v>0009170471</v>
          </cell>
          <cell r="C16" t="str">
            <v>SHIV SHANKAR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TSP/912046/0326</v>
          </cell>
          <cell r="I16" t="str">
            <v>IN</v>
          </cell>
          <cell r="J16">
            <v>0.35343750000000002</v>
          </cell>
          <cell r="K16" t="str">
            <v>PH#4 CHP CONTROL ROOM IN 1</v>
          </cell>
          <cell r="L16" t="str">
            <v>JSR - Tata Steel Ltd</v>
          </cell>
        </row>
        <row r="17">
          <cell r="A17" t="str">
            <v>RW1011186925</v>
          </cell>
          <cell r="B17" t="str">
            <v>0009171074</v>
          </cell>
          <cell r="C17" t="str">
            <v>ANIL KUMAR VERMA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TSP/919172/0326</v>
          </cell>
          <cell r="I17" t="str">
            <v>IN</v>
          </cell>
          <cell r="J17">
            <v>0.34646990740740741</v>
          </cell>
          <cell r="K17" t="str">
            <v>M/C OUT SIDE TOOL ROOM IN</v>
          </cell>
          <cell r="L17" t="str">
            <v>JSR - Tata Steel Ltd</v>
          </cell>
        </row>
        <row r="18">
          <cell r="A18" t="str">
            <v>RW1019191001</v>
          </cell>
          <cell r="B18" t="str">
            <v>0009169997</v>
          </cell>
          <cell r="C18" t="str">
            <v>CHITARANJAN SHARMA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TSP/886965/0326</v>
          </cell>
          <cell r="I18" t="str">
            <v>IN</v>
          </cell>
          <cell r="J18">
            <v>0.33686342592592594</v>
          </cell>
          <cell r="K18" t="str">
            <v>FMM CP&amp;EMS IN</v>
          </cell>
          <cell r="L18" t="str">
            <v>JSR - Tata Steel Ltd</v>
          </cell>
        </row>
        <row r="19">
          <cell r="A19" t="str">
            <v>RW1103006020</v>
          </cell>
          <cell r="B19" t="str">
            <v>0014158133</v>
          </cell>
          <cell r="C19" t="str">
            <v>BRAHMANAND MAHAPATRA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TSP/980543/0426</v>
          </cell>
          <cell r="I19" t="str">
            <v>IN</v>
          </cell>
          <cell r="J19">
            <v>0.89870370370370367</v>
          </cell>
          <cell r="K19" t="str">
            <v>M/C OUT SIDE TOOL ROOM IN</v>
          </cell>
          <cell r="L19" t="str">
            <v>JSR - Tata Steel Ltd</v>
          </cell>
        </row>
        <row r="20">
          <cell r="A20" t="str">
            <v>RW1110162302</v>
          </cell>
          <cell r="B20" t="str">
            <v>0013556522</v>
          </cell>
          <cell r="C20" t="str">
            <v>CHITTA RANJAN MAHATO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TSP/882812/0226</v>
          </cell>
          <cell r="I20" t="str">
            <v>IN</v>
          </cell>
          <cell r="J20">
            <v>0.34871527777777778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RW1223956402</v>
          </cell>
          <cell r="B21" t="str">
            <v>0009014911</v>
          </cell>
          <cell r="C21" t="str">
            <v>KARAN KUMAR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TSP/882822/0226</v>
          </cell>
          <cell r="I21" t="str">
            <v>IN</v>
          </cell>
          <cell r="J21">
            <v>0.35629629629629633</v>
          </cell>
          <cell r="K21" t="str">
            <v>Safety office IN</v>
          </cell>
          <cell r="L21" t="str">
            <v>JSR - Tata Steel Ltd</v>
          </cell>
        </row>
        <row r="22">
          <cell r="A22" t="str">
            <v>VW0123649596</v>
          </cell>
          <cell r="B22" t="str">
            <v>0009241248</v>
          </cell>
          <cell r="C22" t="str">
            <v>ABHISHEK BIRULI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TSP/882827/0226</v>
          </cell>
          <cell r="I22" t="str">
            <v>IN</v>
          </cell>
          <cell r="J22">
            <v>0.34609953703703705</v>
          </cell>
          <cell r="K22" t="str">
            <v>FMM CP&amp;EMS IN</v>
          </cell>
          <cell r="L22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0.72982638888888884</v>
          </cell>
        </row>
        <row r="5">
          <cell r="A5" t="str">
            <v>RD0918134974</v>
          </cell>
          <cell r="B5">
            <v>0.91809027777777785</v>
          </cell>
        </row>
        <row r="6">
          <cell r="A6" t="str">
            <v>RD1203000744</v>
          </cell>
          <cell r="B6">
            <v>0.70892361111111113</v>
          </cell>
        </row>
        <row r="7">
          <cell r="A7" t="str">
            <v>RS0604000979</v>
          </cell>
          <cell r="B7">
            <v>0.91685185185185192</v>
          </cell>
        </row>
        <row r="8">
          <cell r="A8" t="str">
            <v>RW0105038642</v>
          </cell>
          <cell r="B8">
            <v>0.72943287037037041</v>
          </cell>
        </row>
        <row r="9">
          <cell r="A9" t="str">
            <v>RW0218129961</v>
          </cell>
          <cell r="B9">
            <v>0.70912037037037035</v>
          </cell>
        </row>
        <row r="10">
          <cell r="A10" t="str">
            <v>RW0305045827</v>
          </cell>
          <cell r="B10">
            <v>0.70877314814814818</v>
          </cell>
        </row>
        <row r="11">
          <cell r="A11" t="str">
            <v>RW0403000921</v>
          </cell>
          <cell r="B11">
            <v>0.73030092592592588</v>
          </cell>
        </row>
        <row r="12">
          <cell r="A12" t="str">
            <v>RW0512133959</v>
          </cell>
          <cell r="B12">
            <v>0.73006944444444455</v>
          </cell>
        </row>
        <row r="13">
          <cell r="A13" t="str">
            <v>RW0623791155</v>
          </cell>
          <cell r="B13">
            <v>0.91673611111111108</v>
          </cell>
        </row>
        <row r="14">
          <cell r="A14" t="str">
            <v>RW0723808557</v>
          </cell>
          <cell r="B14">
            <v>0.56384259259259262</v>
          </cell>
        </row>
        <row r="15">
          <cell r="A15" t="str">
            <v>RW0807096365</v>
          </cell>
          <cell r="B15">
            <v>0.2502314814814815</v>
          </cell>
        </row>
        <row r="16">
          <cell r="A16" t="str">
            <v>RW0911182377</v>
          </cell>
          <cell r="B16">
            <v>0.73423611111111109</v>
          </cell>
        </row>
        <row r="17">
          <cell r="A17" t="str">
            <v>RW0916154862</v>
          </cell>
          <cell r="B17">
            <v>0.72918981481481471</v>
          </cell>
        </row>
        <row r="18">
          <cell r="A18" t="str">
            <v>RW1011186925</v>
          </cell>
          <cell r="B18">
            <v>0.73038194444444438</v>
          </cell>
        </row>
        <row r="19">
          <cell r="A19" t="str">
            <v>RW1019191001</v>
          </cell>
          <cell r="B19">
            <v>0.73413194444444441</v>
          </cell>
        </row>
        <row r="20">
          <cell r="A20" t="str">
            <v>RW1103006020</v>
          </cell>
          <cell r="B20">
            <v>0.25006944444444446</v>
          </cell>
        </row>
        <row r="21">
          <cell r="A21" t="str">
            <v>RW1110162302</v>
          </cell>
          <cell r="B21">
            <v>0.72932870370370362</v>
          </cell>
        </row>
        <row r="22">
          <cell r="A22" t="str">
            <v>RW1223956402</v>
          </cell>
          <cell r="B22">
            <v>0.72957175925925932</v>
          </cell>
        </row>
        <row r="23">
          <cell r="A23" t="str">
            <v>VW0123649596</v>
          </cell>
          <cell r="B23">
            <v>0.72974537037037035</v>
          </cell>
        </row>
        <row r="24">
          <cell r="A24" t="str">
            <v>VW0123657591</v>
          </cell>
          <cell r="B24">
            <v>0.70927083333333341</v>
          </cell>
        </row>
        <row r="25">
          <cell r="A25" t="str">
            <v>(blank)</v>
          </cell>
        </row>
        <row r="26">
          <cell r="A26" t="str">
            <v>Grand Total</v>
          </cell>
          <cell r="B26">
            <v>0.91809027777777785</v>
          </cell>
        </row>
      </sheetData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0.34958333333333336</v>
          </cell>
          <cell r="K2" t="str">
            <v>Procurement Refrectories store IN</v>
          </cell>
          <cell r="L2" t="str">
            <v>JSR - Tata Steel Ltd</v>
          </cell>
        </row>
        <row r="3">
          <cell r="A3" t="str">
            <v>RD0721287965</v>
          </cell>
          <cell r="B3" t="str">
            <v>0000130902</v>
          </cell>
          <cell r="C3" t="str">
            <v>SUJIT KUMAR VISHWAKARMA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TSP/882825/0226</v>
          </cell>
          <cell r="I3" t="str">
            <v>IN</v>
          </cell>
          <cell r="J3">
            <v>0.33045138888888886</v>
          </cell>
          <cell r="K3" t="str">
            <v>LIME PLANT OLD TRIPPLER IN</v>
          </cell>
          <cell r="L3" t="str">
            <v>JSR - Tata Steel Ltd</v>
          </cell>
        </row>
        <row r="4">
          <cell r="A4" t="str">
            <v>RD0918134974</v>
          </cell>
          <cell r="B4" t="str">
            <v>0009224194</v>
          </cell>
          <cell r="C4" t="str">
            <v>NALIN MAHATO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TSP/882820/0226</v>
          </cell>
          <cell r="I4" t="str">
            <v>IN</v>
          </cell>
          <cell r="J4">
            <v>0.33064814814814814</v>
          </cell>
          <cell r="K4" t="str">
            <v>LIME PLANT OLD TRIPPLER IN</v>
          </cell>
          <cell r="L4" t="str">
            <v>JSR - Tata Steel Ltd</v>
          </cell>
        </row>
        <row r="5">
          <cell r="A5" t="str">
            <v>RD1203000744</v>
          </cell>
          <cell r="B5" t="str">
            <v>0004529569</v>
          </cell>
          <cell r="C5" t="str">
            <v>RAJU KALINDI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TSP/868847/0226</v>
          </cell>
          <cell r="I5" t="str">
            <v>IN</v>
          </cell>
          <cell r="J5">
            <v>0.25776620370370368</v>
          </cell>
          <cell r="K5" t="str">
            <v>T&amp;D CRANE 2 IN</v>
          </cell>
          <cell r="L5" t="str">
            <v>JSR - Tata Steel Ltd</v>
          </cell>
        </row>
        <row r="6">
          <cell r="A6" t="str">
            <v>RS0604000979</v>
          </cell>
          <cell r="B6" t="str">
            <v>0013594906</v>
          </cell>
          <cell r="C6" t="str">
            <v>RAKESH KUMAR SINGH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TSP/882842/0226</v>
          </cell>
          <cell r="I6" t="str">
            <v>IN</v>
          </cell>
          <cell r="J6">
            <v>0.24447916666666666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RW0105038642</v>
          </cell>
          <cell r="B7" t="str">
            <v>0009289525</v>
          </cell>
          <cell r="C7" t="str">
            <v>NAND LAL TIU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TSP/882844/0226</v>
          </cell>
          <cell r="I7" t="str">
            <v>IN</v>
          </cell>
          <cell r="J7">
            <v>0.33730324074074075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RW0105038642</v>
          </cell>
          <cell r="B8" t="str">
            <v>0009289525</v>
          </cell>
          <cell r="C8" t="str">
            <v>NAND LAL TIU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TSP/882844/0226</v>
          </cell>
          <cell r="I8" t="str">
            <v>IN</v>
          </cell>
          <cell r="J8">
            <v>0.33878472222222222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RW0204008111</v>
          </cell>
          <cell r="B9" t="str">
            <v>0014160176</v>
          </cell>
          <cell r="C9" t="str">
            <v>BASUDEO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TSP/882817/0226</v>
          </cell>
          <cell r="I9" t="str">
            <v>IN</v>
          </cell>
          <cell r="J9">
            <v>0.89959490740740744</v>
          </cell>
          <cell r="K9" t="str">
            <v>M/C OUT SIDE TOOL ROOM IN</v>
          </cell>
          <cell r="L9" t="str">
            <v>JSR - Tata Steel Ltd</v>
          </cell>
        </row>
        <row r="10">
          <cell r="A10" t="str">
            <v>RW0218129961</v>
          </cell>
          <cell r="B10" t="str">
            <v>0009178144</v>
          </cell>
          <cell r="C10" t="str">
            <v>APURBA KUMAR MAHATO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TSP/882824/0226</v>
          </cell>
          <cell r="I10" t="str">
            <v>IN</v>
          </cell>
          <cell r="J10">
            <v>0.32026620370370368</v>
          </cell>
          <cell r="K10" t="str">
            <v>PH#4 CHP CONTROL ROOM IN2</v>
          </cell>
          <cell r="L10" t="str">
            <v>JSR - Tata Steel Ltd</v>
          </cell>
        </row>
        <row r="11">
          <cell r="A11" t="str">
            <v>RW0403000921</v>
          </cell>
          <cell r="B11" t="str">
            <v>0004082771</v>
          </cell>
          <cell r="C11" t="str">
            <v>MANMOHAN PRASAD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TSP/882813/0226</v>
          </cell>
          <cell r="I11" t="str">
            <v>IN</v>
          </cell>
          <cell r="J11">
            <v>0.35312499999999997</v>
          </cell>
          <cell r="K11" t="str">
            <v>RDCRMTLAB-IN</v>
          </cell>
          <cell r="L11" t="str">
            <v>JSR - Tata Steel Ltd</v>
          </cell>
        </row>
        <row r="12">
          <cell r="A12" t="str">
            <v>RW0512133959</v>
          </cell>
          <cell r="B12" t="str">
            <v>0013643899</v>
          </cell>
          <cell r="C12" t="str">
            <v>SUJIT KUMAR SINGH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TSP/882814/0226</v>
          </cell>
          <cell r="I12" t="str">
            <v>IN</v>
          </cell>
          <cell r="J12">
            <v>0.34478009259259257</v>
          </cell>
          <cell r="K12" t="str">
            <v>Safety office IN</v>
          </cell>
          <cell r="L12" t="str">
            <v>JSR - Tata Steel Ltd</v>
          </cell>
        </row>
        <row r="13">
          <cell r="A13" t="str">
            <v>RW0608113053</v>
          </cell>
          <cell r="B13" t="str">
            <v>0009203758</v>
          </cell>
          <cell r="C13" t="str">
            <v>RAJESH PRADHAN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TSP/882826/0226</v>
          </cell>
          <cell r="I13" t="str">
            <v>IN</v>
          </cell>
          <cell r="J13">
            <v>0.35864583333333333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RW0621276455</v>
          </cell>
          <cell r="B14" t="str">
            <v>0014164901</v>
          </cell>
          <cell r="C14" t="str">
            <v>SUBHANDU MANDAL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TSP/882821/0226</v>
          </cell>
          <cell r="I14" t="str">
            <v>IN</v>
          </cell>
          <cell r="J14">
            <v>0.35877314814814815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RW0623791155</v>
          </cell>
          <cell r="B15" t="str">
            <v>0009230149</v>
          </cell>
          <cell r="C15" t="str">
            <v>TATA VANKAT RAO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TSP/882815/0226</v>
          </cell>
          <cell r="I15" t="str">
            <v>IN</v>
          </cell>
          <cell r="J15">
            <v>0.58052083333333326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RW0807096365</v>
          </cell>
          <cell r="B16" t="str">
            <v>0009286626</v>
          </cell>
          <cell r="C16" t="str">
            <v>NIPEN CHANDRA SUKUL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TSP/882843/0226</v>
          </cell>
          <cell r="I16" t="str">
            <v>IN</v>
          </cell>
          <cell r="J16">
            <v>0.78644675925925922</v>
          </cell>
          <cell r="K16" t="str">
            <v>FMM CP&amp;EMS IN</v>
          </cell>
          <cell r="L16" t="str">
            <v>JSR - Tata Steel Ltd</v>
          </cell>
        </row>
        <row r="17">
          <cell r="A17" t="str">
            <v>RW0822573453</v>
          </cell>
          <cell r="B17" t="str">
            <v>0014187726</v>
          </cell>
          <cell r="C17" t="str">
            <v>RATAN MAHATO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TSP/882839/0226</v>
          </cell>
          <cell r="I17" t="str">
            <v>IN</v>
          </cell>
          <cell r="J17">
            <v>0.33447916666666666</v>
          </cell>
          <cell r="K17" t="str">
            <v>FMM CP&amp;EMS IN</v>
          </cell>
          <cell r="L17" t="str">
            <v>JSR - Tata Steel Ltd</v>
          </cell>
        </row>
        <row r="18">
          <cell r="A18" t="str">
            <v>RW0907097796</v>
          </cell>
          <cell r="B18" t="str">
            <v>0013604685</v>
          </cell>
          <cell r="C18" t="str">
            <v>ASHOK ROY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TSP/882823/0226</v>
          </cell>
          <cell r="I18" t="str">
            <v>IN</v>
          </cell>
          <cell r="J18">
            <v>0.5803935185185185</v>
          </cell>
          <cell r="K18" t="str">
            <v>FMM CP&amp;EMS IN</v>
          </cell>
          <cell r="L18" t="str">
            <v>JSR - Tata Steel Ltd</v>
          </cell>
        </row>
        <row r="19">
          <cell r="A19" t="str">
            <v>RW0911182377</v>
          </cell>
          <cell r="B19" t="str">
            <v>0014159469</v>
          </cell>
          <cell r="C19" t="str">
            <v>CHHOTU LOHRA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TSP/919171/0326</v>
          </cell>
          <cell r="I19" t="str">
            <v>IN</v>
          </cell>
          <cell r="J19">
            <v>0.33586805555555554</v>
          </cell>
          <cell r="K19" t="str">
            <v>FMM CP&amp;EMS IN</v>
          </cell>
          <cell r="L19" t="str">
            <v>JSR - Tata Steel Ltd</v>
          </cell>
        </row>
        <row r="20">
          <cell r="A20" t="str">
            <v>RW0916154862</v>
          </cell>
          <cell r="B20" t="str">
            <v>0009170471</v>
          </cell>
          <cell r="C20" t="str">
            <v>SHIV SHANKAR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TSP/912046/0326</v>
          </cell>
          <cell r="I20" t="str">
            <v>IN</v>
          </cell>
          <cell r="J20">
            <v>0.34038194444444447</v>
          </cell>
          <cell r="K20" t="str">
            <v>M/C OUT SIDE TOOL ROOM IN</v>
          </cell>
          <cell r="L20" t="str">
            <v>JSR - Tata Steel Ltd</v>
          </cell>
        </row>
        <row r="21">
          <cell r="A21" t="str">
            <v>RW1011186925</v>
          </cell>
          <cell r="B21" t="str">
            <v>0009171074</v>
          </cell>
          <cell r="C21" t="str">
            <v>ANIL KUMAR VERMA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TSP/919172/0326</v>
          </cell>
          <cell r="I21" t="str">
            <v>IN</v>
          </cell>
          <cell r="J21">
            <v>0.34320601851851856</v>
          </cell>
          <cell r="K21" t="str">
            <v>M/C OUT SIDE TOOL ROOM IN</v>
          </cell>
          <cell r="L21" t="str">
            <v>JSR - Tata Steel Ltd</v>
          </cell>
        </row>
        <row r="22">
          <cell r="A22" t="str">
            <v>RW1019191001</v>
          </cell>
          <cell r="B22" t="str">
            <v>0009169997</v>
          </cell>
          <cell r="C22" t="str">
            <v>CHITARANJAN SHARMA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TSP/886965/0326</v>
          </cell>
          <cell r="I22" t="str">
            <v>IN</v>
          </cell>
          <cell r="J22">
            <v>0.33604166666666663</v>
          </cell>
          <cell r="K22" t="str">
            <v>FMM CP&amp;EMS IN</v>
          </cell>
          <cell r="L22" t="str">
            <v>JSR - Tata Steel Ltd</v>
          </cell>
        </row>
        <row r="23">
          <cell r="A23" t="str">
            <v>RW1103005471</v>
          </cell>
          <cell r="B23" t="str">
            <v>0014173748</v>
          </cell>
          <cell r="C23" t="str">
            <v>NASIR ALI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TSP/882811/0226</v>
          </cell>
          <cell r="I23" t="str">
            <v>IN</v>
          </cell>
          <cell r="J23">
            <v>0.33809027777777773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RW1103006020</v>
          </cell>
          <cell r="B24" t="str">
            <v>0014158133</v>
          </cell>
          <cell r="C24" t="str">
            <v>BRAHMANAND MAHAPATRA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TSP/980543/0426</v>
          </cell>
          <cell r="I24" t="str">
            <v>IN</v>
          </cell>
          <cell r="J24">
            <v>0.89969907407407401</v>
          </cell>
          <cell r="K24" t="str">
            <v>M/C OUT SIDE TOOL ROOM IN</v>
          </cell>
          <cell r="L24" t="str">
            <v>JSR - Tata Steel Ltd</v>
          </cell>
        </row>
        <row r="25">
          <cell r="A25" t="str">
            <v>RW1110162302</v>
          </cell>
          <cell r="B25" t="str">
            <v>0013556522</v>
          </cell>
          <cell r="C25" t="str">
            <v>CHITTA RANJAN MAHATO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TSP/882812/0226</v>
          </cell>
          <cell r="I25" t="str">
            <v>IN</v>
          </cell>
          <cell r="J25">
            <v>0.34853009259259254</v>
          </cell>
          <cell r="K25" t="str">
            <v>FMM CP&amp;EMS IN</v>
          </cell>
          <cell r="L25" t="str">
            <v>JSR - Tata Steel Ltd</v>
          </cell>
        </row>
        <row r="26">
          <cell r="A26" t="str">
            <v>RW1204027584</v>
          </cell>
          <cell r="B26" t="str">
            <v>0009234884</v>
          </cell>
          <cell r="C26" t="str">
            <v>BALVINDAR SINGH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TSP/868846/0226</v>
          </cell>
          <cell r="I26" t="str">
            <v>IN</v>
          </cell>
          <cell r="J26">
            <v>0.33695601851851853</v>
          </cell>
          <cell r="K26" t="str">
            <v>PH#3 CONTROL ROOM -IN</v>
          </cell>
          <cell r="L26" t="str">
            <v>JSR - Tata Steel Ltd</v>
          </cell>
        </row>
        <row r="27">
          <cell r="A27" t="str">
            <v>RW1223956402</v>
          </cell>
          <cell r="B27" t="str">
            <v>0009014911</v>
          </cell>
          <cell r="C27" t="str">
            <v>KARAN KUMAR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TSP/882822/0226</v>
          </cell>
          <cell r="I27" t="str">
            <v>IN</v>
          </cell>
          <cell r="J27">
            <v>0.3552777777777778</v>
          </cell>
          <cell r="K27" t="str">
            <v>Safety office IN</v>
          </cell>
          <cell r="L27" t="str">
            <v>JSR - Tata Steel Ltd</v>
          </cell>
        </row>
        <row r="28">
          <cell r="A28" t="str">
            <v>VD0722561172</v>
          </cell>
          <cell r="B28" t="str">
            <v>0000117476</v>
          </cell>
          <cell r="C28" t="str">
            <v>RUPESH KUMAR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TSP/882819/0226</v>
          </cell>
          <cell r="I28" t="str">
            <v>IN</v>
          </cell>
          <cell r="J28">
            <v>0.77174768518518511</v>
          </cell>
          <cell r="K28" t="str">
            <v>AGENCY-SEC-BIOMETRIC -READER-8(PH#3)- IN</v>
          </cell>
          <cell r="L28" t="str">
            <v>JSR - Tata Steel Ltd</v>
          </cell>
        </row>
        <row r="29">
          <cell r="A29" t="str">
            <v>VW0123649596</v>
          </cell>
          <cell r="B29" t="str">
            <v>0009241248</v>
          </cell>
          <cell r="C29" t="str">
            <v>ABHISHEK BIRULI</v>
          </cell>
          <cell r="D29" t="str">
            <v>B445</v>
          </cell>
          <cell r="E29" t="str">
            <v>BECO ENGINEERS</v>
          </cell>
          <cell r="F29" t="str">
            <v>FM MECH-INFRA</v>
          </cell>
          <cell r="G29">
            <v>4700150601</v>
          </cell>
          <cell r="H29" t="str">
            <v>TSP/882827/0226</v>
          </cell>
          <cell r="I29" t="str">
            <v>IN</v>
          </cell>
          <cell r="J29">
            <v>0.36060185185185184</v>
          </cell>
          <cell r="K29" t="str">
            <v>FMM CP&amp;EMS IN</v>
          </cell>
          <cell r="L29" t="str">
            <v>JSR - Tata Steel Ltd</v>
          </cell>
        </row>
        <row r="30">
          <cell r="A30" t="str">
            <v>VW0123657591</v>
          </cell>
          <cell r="B30" t="str">
            <v>0013566588</v>
          </cell>
          <cell r="C30" t="str">
            <v>HINDU BESRA</v>
          </cell>
          <cell r="D30" t="str">
            <v>B445</v>
          </cell>
          <cell r="E30" t="str">
            <v>BECO ENGINEERS</v>
          </cell>
          <cell r="F30" t="str">
            <v>FM MECH-INFRA</v>
          </cell>
          <cell r="G30">
            <v>4700150601</v>
          </cell>
          <cell r="H30" t="str">
            <v>TSP/882841/0226</v>
          </cell>
          <cell r="I30" t="str">
            <v>IN</v>
          </cell>
          <cell r="J30">
            <v>0.31843749999999998</v>
          </cell>
          <cell r="K30" t="str">
            <v>FMM CP&amp;EMS IN</v>
          </cell>
          <cell r="L30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0.72918981481481471</v>
          </cell>
        </row>
        <row r="5">
          <cell r="A5" t="str">
            <v>RD0721287965</v>
          </cell>
          <cell r="B5">
            <v>0.79246527777777775</v>
          </cell>
        </row>
        <row r="6">
          <cell r="A6" t="str">
            <v>RD0918134974</v>
          </cell>
          <cell r="B6">
            <v>0.79266203703703697</v>
          </cell>
        </row>
        <row r="7">
          <cell r="A7" t="str">
            <v>RD1203000744</v>
          </cell>
          <cell r="B7">
            <v>0.70894675925925921</v>
          </cell>
        </row>
        <row r="8">
          <cell r="A8" t="str">
            <v>RS0604000979</v>
          </cell>
          <cell r="B8">
            <v>0.58499999999999996</v>
          </cell>
        </row>
        <row r="9">
          <cell r="A9" t="str">
            <v>RW0105038642</v>
          </cell>
          <cell r="B9">
            <v>0.72930555555555554</v>
          </cell>
        </row>
        <row r="10">
          <cell r="A10" t="str">
            <v>RW0218129961</v>
          </cell>
          <cell r="B10">
            <v>0.70923611111111118</v>
          </cell>
        </row>
        <row r="11">
          <cell r="A11" t="str">
            <v>RW0305045827</v>
          </cell>
          <cell r="B11">
            <v>0.25115740740740738</v>
          </cell>
        </row>
        <row r="12">
          <cell r="A12" t="str">
            <v>RW0403000921</v>
          </cell>
          <cell r="B12">
            <v>0.73468750000000005</v>
          </cell>
        </row>
        <row r="13">
          <cell r="A13" t="str">
            <v>RW0512133959</v>
          </cell>
          <cell r="B13">
            <v>0.7306597222222222</v>
          </cell>
        </row>
        <row r="14">
          <cell r="A14" t="str">
            <v>RW0608113053</v>
          </cell>
          <cell r="B14">
            <v>0.72940972222222233</v>
          </cell>
        </row>
        <row r="15">
          <cell r="A15" t="str">
            <v>RW0621276455</v>
          </cell>
          <cell r="B15">
            <v>0.72946759259259253</v>
          </cell>
        </row>
        <row r="16">
          <cell r="A16" t="str">
            <v>RW0623791155</v>
          </cell>
          <cell r="B16">
            <v>0.916875</v>
          </cell>
        </row>
        <row r="17">
          <cell r="A17" t="str">
            <v>RW0807096365</v>
          </cell>
          <cell r="B17">
            <v>0.25032407407407409</v>
          </cell>
        </row>
        <row r="18">
          <cell r="A18" t="str">
            <v>RW0822573453</v>
          </cell>
          <cell r="B18">
            <v>0.71031250000000001</v>
          </cell>
        </row>
        <row r="19">
          <cell r="A19" t="str">
            <v>RW0907097796</v>
          </cell>
          <cell r="B19">
            <v>0.91700231481481476</v>
          </cell>
        </row>
        <row r="20">
          <cell r="A20" t="str">
            <v>RW0911182377</v>
          </cell>
          <cell r="B20">
            <v>0.73452546296296306</v>
          </cell>
        </row>
        <row r="21">
          <cell r="A21" t="str">
            <v>RW0916154862</v>
          </cell>
          <cell r="B21">
            <v>0.73086805555555545</v>
          </cell>
        </row>
        <row r="22">
          <cell r="A22" t="str">
            <v>RW1011186925</v>
          </cell>
          <cell r="B22">
            <v>0.73460648148148155</v>
          </cell>
        </row>
        <row r="23">
          <cell r="A23" t="str">
            <v>RW1019191001</v>
          </cell>
          <cell r="B23">
            <v>0.73442129629629627</v>
          </cell>
        </row>
        <row r="24">
          <cell r="A24" t="str">
            <v>RW1103005471</v>
          </cell>
          <cell r="B24">
            <v>0.72918981481481471</v>
          </cell>
        </row>
        <row r="25">
          <cell r="A25" t="str">
            <v>RW1103006020</v>
          </cell>
          <cell r="B25">
            <v>0.25100694444444444</v>
          </cell>
        </row>
        <row r="26">
          <cell r="A26" t="str">
            <v>RW1110162302</v>
          </cell>
          <cell r="B26">
            <v>0.7292939814814815</v>
          </cell>
        </row>
        <row r="27">
          <cell r="A27" t="str">
            <v>RW1204027584</v>
          </cell>
          <cell r="B27">
            <v>0.83489583333333339</v>
          </cell>
        </row>
        <row r="28">
          <cell r="A28" t="str">
            <v>RW1223956402</v>
          </cell>
          <cell r="B28">
            <v>0.72962962962962974</v>
          </cell>
        </row>
        <row r="29">
          <cell r="A29" t="str">
            <v>VW0123649596</v>
          </cell>
          <cell r="B29">
            <v>0.72953703703703709</v>
          </cell>
        </row>
        <row r="30">
          <cell r="A30" t="str">
            <v>VW0123657591</v>
          </cell>
          <cell r="B30">
            <v>0.71084490740740736</v>
          </cell>
        </row>
        <row r="31">
          <cell r="A31" t="str">
            <v>(blank)</v>
          </cell>
        </row>
        <row r="32">
          <cell r="A32" t="str">
            <v>Grand Total</v>
          </cell>
          <cell r="B32">
            <v>0.91700231481481476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>
        <row r="1">
          <cell r="A1" t="str">
            <v>Safety Pass No</v>
          </cell>
          <cell r="B1" t="str">
            <v>Card No</v>
          </cell>
          <cell r="C1" t="str">
            <v>Workman Name</v>
          </cell>
          <cell r="D1" t="str">
            <v>Vendor Code</v>
          </cell>
          <cell r="E1" t="str">
            <v>Vendor Name</v>
          </cell>
          <cell r="F1" t="str">
            <v>Dept. Name</v>
          </cell>
          <cell r="G1" t="str">
            <v>Workorder No</v>
          </cell>
          <cell r="H1" t="str">
            <v>Gatepass No.</v>
          </cell>
          <cell r="I1" t="str">
            <v>Flag</v>
          </cell>
          <cell r="J1" t="str">
            <v>Punch Time/HH:MM:SS</v>
          </cell>
          <cell r="K1" t="str">
            <v>Reader Location</v>
          </cell>
          <cell r="L1" t="str">
            <v>Workmen Location</v>
          </cell>
        </row>
        <row r="2">
          <cell r="A2" t="str">
            <v>JW0724246971</v>
          </cell>
          <cell r="B2" t="str">
            <v>0004306797</v>
          </cell>
          <cell r="C2" t="str">
            <v>NAVEEN KUMAR</v>
          </cell>
          <cell r="D2" t="str">
            <v>B445</v>
          </cell>
          <cell r="E2" t="str">
            <v>BECO ENGINEERS</v>
          </cell>
          <cell r="F2" t="str">
            <v>FM MECH-INFRA</v>
          </cell>
          <cell r="G2">
            <v>4700150601</v>
          </cell>
          <cell r="H2" t="str">
            <v>TSP/886963/0326</v>
          </cell>
          <cell r="I2" t="str">
            <v>IN</v>
          </cell>
          <cell r="J2">
            <v>0.36131944444444447</v>
          </cell>
          <cell r="K2" t="str">
            <v>Procurement Refrectories store IN</v>
          </cell>
          <cell r="L2" t="str">
            <v>JSR - Tata Steel Ltd</v>
          </cell>
        </row>
        <row r="3">
          <cell r="A3" t="str">
            <v>RD0721287965</v>
          </cell>
          <cell r="B3" t="str">
            <v>0000130902</v>
          </cell>
          <cell r="C3" t="str">
            <v>SUJIT KUMAR VISHWAKARMA</v>
          </cell>
          <cell r="D3" t="str">
            <v>B445</v>
          </cell>
          <cell r="E3" t="str">
            <v>BECO ENGINEERS</v>
          </cell>
          <cell r="F3" t="str">
            <v>FM MECH-INFRA</v>
          </cell>
          <cell r="G3">
            <v>4700150601</v>
          </cell>
          <cell r="H3" t="str">
            <v>TSP/882825/0226</v>
          </cell>
          <cell r="I3" t="str">
            <v>IN</v>
          </cell>
          <cell r="J3">
            <v>0.33074074074074072</v>
          </cell>
          <cell r="K3" t="str">
            <v>LIME PLANT OLD TRIPPLER IN</v>
          </cell>
          <cell r="L3" t="str">
            <v>JSR - Tata Steel Ltd</v>
          </cell>
        </row>
        <row r="4">
          <cell r="A4" t="str">
            <v>RD0918134974</v>
          </cell>
          <cell r="B4" t="str">
            <v>0009224194</v>
          </cell>
          <cell r="C4" t="str">
            <v>NALIN MAHATO</v>
          </cell>
          <cell r="D4" t="str">
            <v>B445</v>
          </cell>
          <cell r="E4" t="str">
            <v>BECO ENGINEERS</v>
          </cell>
          <cell r="F4" t="str">
            <v>FM MECH-INFRA</v>
          </cell>
          <cell r="G4">
            <v>4700150601</v>
          </cell>
          <cell r="H4" t="str">
            <v>TSP/882820/0226</v>
          </cell>
          <cell r="I4" t="str">
            <v>IN</v>
          </cell>
          <cell r="J4">
            <v>0.33875000000000005</v>
          </cell>
          <cell r="K4" t="str">
            <v>FMM CP&amp;EMS IN</v>
          </cell>
          <cell r="L4" t="str">
            <v>JSR - Tata Steel Ltd</v>
          </cell>
        </row>
        <row r="5">
          <cell r="A5" t="str">
            <v>RD1203000744</v>
          </cell>
          <cell r="B5" t="str">
            <v>0004529569</v>
          </cell>
          <cell r="C5" t="str">
            <v>RAJU KALINDI</v>
          </cell>
          <cell r="D5" t="str">
            <v>B445</v>
          </cell>
          <cell r="E5" t="str">
            <v>BECO ENGINEERS</v>
          </cell>
          <cell r="F5" t="str">
            <v>FM MECH-INFRA</v>
          </cell>
          <cell r="G5">
            <v>4700150601</v>
          </cell>
          <cell r="H5" t="str">
            <v>TSP/868847/0226</v>
          </cell>
          <cell r="I5" t="str">
            <v>IN</v>
          </cell>
          <cell r="J5">
            <v>0.25495370370370368</v>
          </cell>
          <cell r="K5" t="str">
            <v>Safety office IN</v>
          </cell>
          <cell r="L5" t="str">
            <v>JSR - Tata Steel Ltd</v>
          </cell>
        </row>
        <row r="6">
          <cell r="A6" t="str">
            <v>RS0604000979</v>
          </cell>
          <cell r="B6" t="str">
            <v>0013594906</v>
          </cell>
          <cell r="C6" t="str">
            <v>RAKESH KUMAR SINGH</v>
          </cell>
          <cell r="D6" t="str">
            <v>B445</v>
          </cell>
          <cell r="E6" t="str">
            <v>BECO ENGINEERS</v>
          </cell>
          <cell r="F6" t="str">
            <v>FM MECH-INFRA</v>
          </cell>
          <cell r="G6">
            <v>4700150601</v>
          </cell>
          <cell r="H6" t="str">
            <v>TSP/882842/0226</v>
          </cell>
          <cell r="I6" t="str">
            <v>IN</v>
          </cell>
          <cell r="J6">
            <v>0.57873842592592595</v>
          </cell>
          <cell r="K6" t="str">
            <v>FMM CP&amp;EMS IN</v>
          </cell>
          <cell r="L6" t="str">
            <v>JSR - Tata Steel Ltd</v>
          </cell>
        </row>
        <row r="7">
          <cell r="A7" t="str">
            <v>RW0105038642</v>
          </cell>
          <cell r="B7" t="str">
            <v>0009289525</v>
          </cell>
          <cell r="C7" t="str">
            <v>NAND LAL TIU</v>
          </cell>
          <cell r="D7" t="str">
            <v>B445</v>
          </cell>
          <cell r="E7" t="str">
            <v>BECO ENGINEERS</v>
          </cell>
          <cell r="F7" t="str">
            <v>FM MECH-INFRA</v>
          </cell>
          <cell r="G7">
            <v>4700150601</v>
          </cell>
          <cell r="H7" t="str">
            <v>TSP/882844/0226</v>
          </cell>
          <cell r="I7" t="str">
            <v>IN</v>
          </cell>
          <cell r="J7">
            <v>0.34914351851851855</v>
          </cell>
          <cell r="K7" t="str">
            <v>FMM CP&amp;EMS IN</v>
          </cell>
          <cell r="L7" t="str">
            <v>JSR - Tata Steel Ltd</v>
          </cell>
        </row>
        <row r="8">
          <cell r="A8" t="str">
            <v>RW0105038642</v>
          </cell>
          <cell r="B8" t="str">
            <v>0009289525</v>
          </cell>
          <cell r="C8" t="str">
            <v>NAND LAL TIU</v>
          </cell>
          <cell r="D8" t="str">
            <v>B445</v>
          </cell>
          <cell r="E8" t="str">
            <v>BECO ENGINEERS</v>
          </cell>
          <cell r="F8" t="str">
            <v>FM MECH-INFRA</v>
          </cell>
          <cell r="G8">
            <v>4700150601</v>
          </cell>
          <cell r="H8" t="str">
            <v>TSP/882844/0226</v>
          </cell>
          <cell r="I8" t="str">
            <v>IN</v>
          </cell>
          <cell r="J8">
            <v>0.3517824074074074</v>
          </cell>
          <cell r="K8" t="str">
            <v>FMM CP&amp;EMS IN</v>
          </cell>
          <cell r="L8" t="str">
            <v>JSR - Tata Steel Ltd</v>
          </cell>
        </row>
        <row r="9">
          <cell r="A9" t="str">
            <v>RW0204008111</v>
          </cell>
          <cell r="B9" t="str">
            <v>0014160176</v>
          </cell>
          <cell r="C9" t="str">
            <v>BASUDEO</v>
          </cell>
          <cell r="D9" t="str">
            <v>B445</v>
          </cell>
          <cell r="E9" t="str">
            <v>BECO ENGINEERS</v>
          </cell>
          <cell r="F9" t="str">
            <v>FM MECH-INFRA</v>
          </cell>
          <cell r="G9">
            <v>4700150601</v>
          </cell>
          <cell r="H9" t="str">
            <v>TSP/882817/0226</v>
          </cell>
          <cell r="I9" t="str">
            <v>IN</v>
          </cell>
          <cell r="J9">
            <v>0.90421296296296294</v>
          </cell>
          <cell r="K9" t="str">
            <v>FMM CP&amp;EMS IN</v>
          </cell>
          <cell r="L9" t="str">
            <v>JSR - Tata Steel Ltd</v>
          </cell>
        </row>
        <row r="10">
          <cell r="A10" t="str">
            <v>RW0218129961</v>
          </cell>
          <cell r="B10" t="str">
            <v>0009178144</v>
          </cell>
          <cell r="C10" t="str">
            <v>APURBA KUMAR MAHATO</v>
          </cell>
          <cell r="D10" t="str">
            <v>B445</v>
          </cell>
          <cell r="E10" t="str">
            <v>BECO ENGINEERS</v>
          </cell>
          <cell r="F10" t="str">
            <v>FM MECH-INFRA</v>
          </cell>
          <cell r="G10">
            <v>4700150601</v>
          </cell>
          <cell r="H10" t="str">
            <v>TSP/882824/0226</v>
          </cell>
          <cell r="I10" t="str">
            <v>IN</v>
          </cell>
          <cell r="J10">
            <v>0.3359375</v>
          </cell>
          <cell r="K10" t="str">
            <v>FMM CP&amp;EMS IN</v>
          </cell>
          <cell r="L10" t="str">
            <v>JSR - Tata Steel Ltd</v>
          </cell>
        </row>
        <row r="11">
          <cell r="A11" t="str">
            <v>RW0305045827</v>
          </cell>
          <cell r="B11" t="str">
            <v>0009244505</v>
          </cell>
          <cell r="C11" t="str">
            <v>LAXMAN BHADUK</v>
          </cell>
          <cell r="D11" t="str">
            <v>B445</v>
          </cell>
          <cell r="E11" t="str">
            <v>BECO ENGINEERS</v>
          </cell>
          <cell r="F11" t="str">
            <v>FM MECH-INFRA</v>
          </cell>
          <cell r="G11">
            <v>4700150601</v>
          </cell>
          <cell r="H11" t="str">
            <v>TSP/882818/0226</v>
          </cell>
          <cell r="I11" t="str">
            <v>IN</v>
          </cell>
          <cell r="J11">
            <v>0.78240740740740744</v>
          </cell>
          <cell r="K11" t="str">
            <v>PH#4 CHP CONTROL ROOM IN2</v>
          </cell>
          <cell r="L11" t="str">
            <v>JSR - Tata Steel Ltd</v>
          </cell>
        </row>
        <row r="12">
          <cell r="A12" t="str">
            <v>RW0403000921</v>
          </cell>
          <cell r="B12" t="str">
            <v>0004082771</v>
          </cell>
          <cell r="C12" t="str">
            <v>MANMOHAN PRASAD</v>
          </cell>
          <cell r="D12" t="str">
            <v>B445</v>
          </cell>
          <cell r="E12" t="str">
            <v>BECO ENGINEERS</v>
          </cell>
          <cell r="F12" t="str">
            <v>FM MECH-INFRA</v>
          </cell>
          <cell r="G12">
            <v>4700150601</v>
          </cell>
          <cell r="H12" t="str">
            <v>TSP/882813/0226</v>
          </cell>
          <cell r="I12" t="str">
            <v>IN</v>
          </cell>
          <cell r="J12">
            <v>0.35881944444444441</v>
          </cell>
          <cell r="K12" t="str">
            <v>RDCRMTLAB-IN</v>
          </cell>
          <cell r="L12" t="str">
            <v>JSR - Tata Steel Ltd</v>
          </cell>
        </row>
        <row r="13">
          <cell r="A13" t="str">
            <v>RW0512133959</v>
          </cell>
          <cell r="B13" t="str">
            <v>0013643899</v>
          </cell>
          <cell r="C13" t="str">
            <v>SUJIT KUMAR SINGH</v>
          </cell>
          <cell r="D13" t="str">
            <v>B445</v>
          </cell>
          <cell r="E13" t="str">
            <v>BECO ENGINEERS</v>
          </cell>
          <cell r="F13" t="str">
            <v>FM MECH-INFRA</v>
          </cell>
          <cell r="G13">
            <v>4700150601</v>
          </cell>
          <cell r="H13" t="str">
            <v>TSP/882814/0226</v>
          </cell>
          <cell r="I13" t="str">
            <v>IN</v>
          </cell>
          <cell r="J13">
            <v>0.36122685185185183</v>
          </cell>
          <cell r="K13" t="str">
            <v>FMM CP&amp;EMS IN</v>
          </cell>
          <cell r="L13" t="str">
            <v>JSR - Tata Steel Ltd</v>
          </cell>
        </row>
        <row r="14">
          <cell r="A14" t="str">
            <v>RW0608113053</v>
          </cell>
          <cell r="B14" t="str">
            <v>0009203758</v>
          </cell>
          <cell r="C14" t="str">
            <v>RAJESH PRADHAN</v>
          </cell>
          <cell r="D14" t="str">
            <v>B445</v>
          </cell>
          <cell r="E14" t="str">
            <v>BECO ENGINEERS</v>
          </cell>
          <cell r="F14" t="str">
            <v>FM MECH-INFRA</v>
          </cell>
          <cell r="G14">
            <v>4700150601</v>
          </cell>
          <cell r="H14" t="str">
            <v>TSP/882826/0226</v>
          </cell>
          <cell r="I14" t="str">
            <v>IN</v>
          </cell>
          <cell r="J14">
            <v>0.35601851851851851</v>
          </cell>
          <cell r="K14" t="str">
            <v>FMM CP&amp;EMS IN</v>
          </cell>
          <cell r="L14" t="str">
            <v>JSR - Tata Steel Ltd</v>
          </cell>
        </row>
        <row r="15">
          <cell r="A15" t="str">
            <v>RW0621276455</v>
          </cell>
          <cell r="B15" t="str">
            <v>0014164901</v>
          </cell>
          <cell r="C15" t="str">
            <v>SUBHANDU MANDAL</v>
          </cell>
          <cell r="D15" t="str">
            <v>B445</v>
          </cell>
          <cell r="E15" t="str">
            <v>BECO ENGINEERS</v>
          </cell>
          <cell r="F15" t="str">
            <v>FM MECH-INFRA</v>
          </cell>
          <cell r="G15">
            <v>4700150601</v>
          </cell>
          <cell r="H15" t="str">
            <v>TSP/882821/0226</v>
          </cell>
          <cell r="I15" t="str">
            <v>IN</v>
          </cell>
          <cell r="J15">
            <v>0.36078703703703702</v>
          </cell>
          <cell r="K15" t="str">
            <v>FMM CP&amp;EMS IN</v>
          </cell>
          <cell r="L15" t="str">
            <v>JSR - Tata Steel Ltd</v>
          </cell>
        </row>
        <row r="16">
          <cell r="A16" t="str">
            <v>RW0623791155</v>
          </cell>
          <cell r="B16" t="str">
            <v>0009230149</v>
          </cell>
          <cell r="C16" t="str">
            <v>TATA VANKAT RAO</v>
          </cell>
          <cell r="D16" t="str">
            <v>B445</v>
          </cell>
          <cell r="E16" t="str">
            <v>BECO ENGINEERS</v>
          </cell>
          <cell r="F16" t="str">
            <v>FM MECH-INFRA</v>
          </cell>
          <cell r="G16">
            <v>4700150601</v>
          </cell>
          <cell r="H16" t="str">
            <v>TSP/882815/0226</v>
          </cell>
          <cell r="I16" t="str">
            <v>IN</v>
          </cell>
          <cell r="J16">
            <v>0.57328703703703698</v>
          </cell>
          <cell r="K16" t="str">
            <v>PH#4 CHP CONTROL ROOM IN2</v>
          </cell>
          <cell r="L16" t="str">
            <v>JSR - Tata Steel Ltd</v>
          </cell>
        </row>
        <row r="17">
          <cell r="A17" t="str">
            <v>RW0723808557</v>
          </cell>
          <cell r="B17" t="str">
            <v>0014188176</v>
          </cell>
          <cell r="C17" t="str">
            <v>VISHAL HASDA</v>
          </cell>
          <cell r="D17" t="str">
            <v>B445</v>
          </cell>
          <cell r="E17" t="str">
            <v>BECO ENGINEERS</v>
          </cell>
          <cell r="F17" t="str">
            <v>FM MECH-INFRA</v>
          </cell>
          <cell r="G17">
            <v>4700150601</v>
          </cell>
          <cell r="H17" t="str">
            <v>TSP/886967/0326</v>
          </cell>
          <cell r="I17" t="str">
            <v>IN</v>
          </cell>
          <cell r="J17">
            <v>0.24224537037037039</v>
          </cell>
          <cell r="K17" t="str">
            <v>PH#4 CHP CONTROL ROOM IN2</v>
          </cell>
          <cell r="L17" t="str">
            <v>JSR - Tata Steel Ltd</v>
          </cell>
        </row>
        <row r="18">
          <cell r="A18" t="str">
            <v>RW0822573453</v>
          </cell>
          <cell r="B18" t="str">
            <v>0014187726</v>
          </cell>
          <cell r="C18" t="str">
            <v>RATAN MAHATO</v>
          </cell>
          <cell r="D18" t="str">
            <v>B445</v>
          </cell>
          <cell r="E18" t="str">
            <v>BECO ENGINEERS</v>
          </cell>
          <cell r="F18" t="str">
            <v>FM MECH-INFRA</v>
          </cell>
          <cell r="G18">
            <v>4700150601</v>
          </cell>
          <cell r="H18" t="str">
            <v>TSP/882839/0226</v>
          </cell>
          <cell r="I18" t="str">
            <v>IN</v>
          </cell>
          <cell r="J18">
            <v>0.32670138888888889</v>
          </cell>
          <cell r="K18" t="str">
            <v>FMM CP&amp;EMS IN</v>
          </cell>
          <cell r="L18" t="str">
            <v>JSR - Tata Steel Ltd</v>
          </cell>
        </row>
        <row r="19">
          <cell r="A19" t="str">
            <v>RW0907097796</v>
          </cell>
          <cell r="B19" t="str">
            <v>0013604685</v>
          </cell>
          <cell r="C19" t="str">
            <v>ASHOK ROY</v>
          </cell>
          <cell r="D19" t="str">
            <v>B445</v>
          </cell>
          <cell r="E19" t="str">
            <v>BECO ENGINEERS</v>
          </cell>
          <cell r="F19" t="str">
            <v>FM MECH-INFRA</v>
          </cell>
          <cell r="G19">
            <v>4700150601</v>
          </cell>
          <cell r="H19" t="str">
            <v>TSP/882823/0226</v>
          </cell>
          <cell r="I19" t="str">
            <v>IN</v>
          </cell>
          <cell r="J19">
            <v>0.57753472222222224</v>
          </cell>
          <cell r="K19" t="str">
            <v>PH#4 CHP CONTROL ROOM IN2</v>
          </cell>
          <cell r="L19" t="str">
            <v>JSR - Tata Steel Ltd</v>
          </cell>
        </row>
        <row r="20">
          <cell r="A20" t="str">
            <v>RW0911182377</v>
          </cell>
          <cell r="B20" t="str">
            <v>0014159469</v>
          </cell>
          <cell r="C20" t="str">
            <v>CHHOTU LOHRA</v>
          </cell>
          <cell r="D20" t="str">
            <v>B445</v>
          </cell>
          <cell r="E20" t="str">
            <v>BECO ENGINEERS</v>
          </cell>
          <cell r="F20" t="str">
            <v>FM MECH-INFRA</v>
          </cell>
          <cell r="G20">
            <v>4700150601</v>
          </cell>
          <cell r="H20" t="str">
            <v>TSP/919171/0326</v>
          </cell>
          <cell r="I20" t="str">
            <v>IN</v>
          </cell>
          <cell r="J20">
            <v>0.3406481481481482</v>
          </cell>
          <cell r="K20" t="str">
            <v>FMM CP&amp;EMS IN</v>
          </cell>
          <cell r="L20" t="str">
            <v>JSR - Tata Steel Ltd</v>
          </cell>
        </row>
        <row r="21">
          <cell r="A21" t="str">
            <v>RW0916154862</v>
          </cell>
          <cell r="B21" t="str">
            <v>0009170471</v>
          </cell>
          <cell r="C21" t="str">
            <v>SHIV SHANKAR</v>
          </cell>
          <cell r="D21" t="str">
            <v>B445</v>
          </cell>
          <cell r="E21" t="str">
            <v>BECO ENGINEERS</v>
          </cell>
          <cell r="F21" t="str">
            <v>FM MECH-INFRA</v>
          </cell>
          <cell r="G21">
            <v>4700150601</v>
          </cell>
          <cell r="H21" t="str">
            <v>TSP/912046/0326</v>
          </cell>
          <cell r="I21" t="str">
            <v>IN</v>
          </cell>
          <cell r="J21">
            <v>0.34813657407407406</v>
          </cell>
          <cell r="K21" t="str">
            <v>M/C OUT SIDE TOOL ROOM IN</v>
          </cell>
          <cell r="L21" t="str">
            <v>JSR - Tata Steel Ltd</v>
          </cell>
        </row>
        <row r="22">
          <cell r="A22" t="str">
            <v>RW1011186925</v>
          </cell>
          <cell r="B22" t="str">
            <v>0009171074</v>
          </cell>
          <cell r="C22" t="str">
            <v>ANIL KUMAR VERMA</v>
          </cell>
          <cell r="D22" t="str">
            <v>B445</v>
          </cell>
          <cell r="E22" t="str">
            <v>BECO ENGINEERS</v>
          </cell>
          <cell r="F22" t="str">
            <v>FM MECH-INFRA</v>
          </cell>
          <cell r="G22">
            <v>4700150601</v>
          </cell>
          <cell r="H22" t="str">
            <v>TSP/919172/0326</v>
          </cell>
          <cell r="I22" t="str">
            <v>IN</v>
          </cell>
          <cell r="J22">
            <v>0.34795138888888894</v>
          </cell>
          <cell r="K22" t="str">
            <v>M/C OUT SIDE TOOL ROOM IN</v>
          </cell>
          <cell r="L22" t="str">
            <v>JSR - Tata Steel Ltd</v>
          </cell>
        </row>
        <row r="23">
          <cell r="A23" t="str">
            <v>RW1019191001</v>
          </cell>
          <cell r="B23" t="str">
            <v>0009169997</v>
          </cell>
          <cell r="C23" t="str">
            <v>CHITARANJAN SHARMA</v>
          </cell>
          <cell r="D23" t="str">
            <v>B445</v>
          </cell>
          <cell r="E23" t="str">
            <v>BECO ENGINEERS</v>
          </cell>
          <cell r="F23" t="str">
            <v>FM MECH-INFRA</v>
          </cell>
          <cell r="G23">
            <v>4700150601</v>
          </cell>
          <cell r="H23" t="str">
            <v>TSP/886965/0326</v>
          </cell>
          <cell r="I23" t="str">
            <v>IN</v>
          </cell>
          <cell r="J23">
            <v>0.34050925925925929</v>
          </cell>
          <cell r="K23" t="str">
            <v>FMM CP&amp;EMS IN</v>
          </cell>
          <cell r="L23" t="str">
            <v>JSR - Tata Steel Ltd</v>
          </cell>
        </row>
        <row r="24">
          <cell r="A24" t="str">
            <v>RW1103005471</v>
          </cell>
          <cell r="B24" t="str">
            <v>0014173748</v>
          </cell>
          <cell r="C24" t="str">
            <v>NASIR ALI</v>
          </cell>
          <cell r="D24" t="str">
            <v>B445</v>
          </cell>
          <cell r="E24" t="str">
            <v>BECO ENGINEERS</v>
          </cell>
          <cell r="F24" t="str">
            <v>FM MECH-INFRA</v>
          </cell>
          <cell r="G24">
            <v>4700150601</v>
          </cell>
          <cell r="H24" t="str">
            <v>TSP/882811/0226</v>
          </cell>
          <cell r="I24" t="str">
            <v>IN</v>
          </cell>
          <cell r="J24">
            <v>0.34248842592592593</v>
          </cell>
          <cell r="K24" t="str">
            <v>FMM CP&amp;EMS IN</v>
          </cell>
          <cell r="L24" t="str">
            <v>JSR - Tata Steel Ltd</v>
          </cell>
        </row>
        <row r="25">
          <cell r="A25" t="str">
            <v>RW1103006020</v>
          </cell>
          <cell r="B25" t="str">
            <v>0014158133</v>
          </cell>
          <cell r="C25" t="str">
            <v>BRAHMANAND MAHAPATRA</v>
          </cell>
          <cell r="D25" t="str">
            <v>B445</v>
          </cell>
          <cell r="E25" t="str">
            <v>BECO ENGINEERS</v>
          </cell>
          <cell r="F25" t="str">
            <v>FM MECH-INFRA</v>
          </cell>
          <cell r="G25">
            <v>4700150601</v>
          </cell>
          <cell r="H25" t="str">
            <v>TSP/980543/0426</v>
          </cell>
          <cell r="I25" t="str">
            <v>IN</v>
          </cell>
          <cell r="J25">
            <v>0.90438657407407408</v>
          </cell>
          <cell r="K25" t="str">
            <v>FMM CP&amp;EMS IN</v>
          </cell>
          <cell r="L25" t="str">
            <v>JSR - Tata Steel Ltd</v>
          </cell>
        </row>
        <row r="26">
          <cell r="A26" t="str">
            <v>RW1110162302</v>
          </cell>
          <cell r="B26" t="str">
            <v>0013556522</v>
          </cell>
          <cell r="C26" t="str">
            <v>CHITTA RANJAN MAHATO</v>
          </cell>
          <cell r="D26" t="str">
            <v>B445</v>
          </cell>
          <cell r="E26" t="str">
            <v>BECO ENGINEERS</v>
          </cell>
          <cell r="F26" t="str">
            <v>FM MECH-INFRA</v>
          </cell>
          <cell r="G26">
            <v>4700150601</v>
          </cell>
          <cell r="H26" t="str">
            <v>TSP/882812/0226</v>
          </cell>
          <cell r="I26" t="str">
            <v>IN</v>
          </cell>
          <cell r="J26">
            <v>0.34952546296296294</v>
          </cell>
          <cell r="K26" t="str">
            <v>M/C OUT SIDE TOOL ROOM IN</v>
          </cell>
          <cell r="L26" t="str">
            <v>JSR - Tata Steel Ltd</v>
          </cell>
        </row>
        <row r="27">
          <cell r="A27" t="str">
            <v>RW1204027584</v>
          </cell>
          <cell r="B27" t="str">
            <v>0009234884</v>
          </cell>
          <cell r="C27" t="str">
            <v>BALVINDAR SINGH</v>
          </cell>
          <cell r="D27" t="str">
            <v>B445</v>
          </cell>
          <cell r="E27" t="str">
            <v>BECO ENGINEERS</v>
          </cell>
          <cell r="F27" t="str">
            <v>FM MECH-INFRA</v>
          </cell>
          <cell r="G27">
            <v>4700150601</v>
          </cell>
          <cell r="H27" t="str">
            <v>TSP/868846/0226</v>
          </cell>
          <cell r="I27" t="str">
            <v>IN</v>
          </cell>
          <cell r="J27">
            <v>0.34650462962962963</v>
          </cell>
          <cell r="K27" t="str">
            <v>PH#3 CONTROL ROOM -IN</v>
          </cell>
          <cell r="L27" t="str">
            <v>JSR - Tata Steel Ltd</v>
          </cell>
        </row>
        <row r="28">
          <cell r="A28" t="str">
            <v>RW1223956402</v>
          </cell>
          <cell r="B28" t="str">
            <v>0009014911</v>
          </cell>
          <cell r="C28" t="str">
            <v>KARAN KUMAR</v>
          </cell>
          <cell r="D28" t="str">
            <v>B445</v>
          </cell>
          <cell r="E28" t="str">
            <v>BECO ENGINEERS</v>
          </cell>
          <cell r="F28" t="str">
            <v>FM MECH-INFRA</v>
          </cell>
          <cell r="G28">
            <v>4700150601</v>
          </cell>
          <cell r="H28" t="str">
            <v>TSP/882822/0226</v>
          </cell>
          <cell r="I28" t="str">
            <v>IN</v>
          </cell>
          <cell r="J28">
            <v>0.35553240740740738</v>
          </cell>
          <cell r="K28" t="str">
            <v>Safety office IN</v>
          </cell>
          <cell r="L28" t="str">
            <v>JSR - Tata Steel Ltd</v>
          </cell>
        </row>
        <row r="29">
          <cell r="A29" t="str">
            <v>VD0722561172</v>
          </cell>
          <cell r="B29" t="str">
            <v>0000117476</v>
          </cell>
          <cell r="C29" t="str">
            <v>RUPESH KUMAR</v>
          </cell>
          <cell r="D29" t="str">
            <v>B445</v>
          </cell>
          <cell r="E29" t="str">
            <v>BECO ENGINEERS</v>
          </cell>
          <cell r="F29" t="str">
            <v>FM MECH-INFRA</v>
          </cell>
          <cell r="G29">
            <v>4700150601</v>
          </cell>
          <cell r="H29" t="str">
            <v>TSP/882819/0226</v>
          </cell>
          <cell r="I29" t="str">
            <v>IN</v>
          </cell>
          <cell r="J29">
            <v>0.77236111111111105</v>
          </cell>
          <cell r="K29" t="str">
            <v>AGENCY-SEC-BIOMETRIC -READER-8(PH#3)- IN</v>
          </cell>
          <cell r="L29" t="str">
            <v>JSR - Tata Steel Ltd</v>
          </cell>
        </row>
        <row r="30">
          <cell r="A30" t="str">
            <v>VW0123649596</v>
          </cell>
          <cell r="B30" t="str">
            <v>0009241248</v>
          </cell>
          <cell r="C30" t="str">
            <v>ABHISHEK BIRULI</v>
          </cell>
          <cell r="D30" t="str">
            <v>B445</v>
          </cell>
          <cell r="E30" t="str">
            <v>BECO ENGINEERS</v>
          </cell>
          <cell r="F30" t="str">
            <v>FM MECH-INFRA</v>
          </cell>
          <cell r="G30">
            <v>4700150601</v>
          </cell>
          <cell r="H30" t="str">
            <v>TSP/882827/0226</v>
          </cell>
          <cell r="I30" t="str">
            <v>IN</v>
          </cell>
          <cell r="J30">
            <v>0.35802083333333329</v>
          </cell>
          <cell r="K30" t="str">
            <v>FMM CP&amp;EMS IN</v>
          </cell>
          <cell r="L30" t="str">
            <v>JSR - Tata Steel Ltd</v>
          </cell>
        </row>
        <row r="31">
          <cell r="A31" t="str">
            <v>VW0123657591</v>
          </cell>
          <cell r="B31" t="str">
            <v>0013566588</v>
          </cell>
          <cell r="C31" t="str">
            <v>HINDU BESRA</v>
          </cell>
          <cell r="D31" t="str">
            <v>B445</v>
          </cell>
          <cell r="E31" t="str">
            <v>BECO ENGINEERS</v>
          </cell>
          <cell r="F31" t="str">
            <v>FM MECH-INFRA</v>
          </cell>
          <cell r="G31">
            <v>4700150601</v>
          </cell>
          <cell r="H31" t="str">
            <v>TSP/882841/0226</v>
          </cell>
          <cell r="I31" t="str">
            <v>IN</v>
          </cell>
          <cell r="J31">
            <v>0.34063657407407405</v>
          </cell>
          <cell r="K31" t="str">
            <v>M/C OUT SIDE TOOL ROOM IN</v>
          </cell>
          <cell r="L31" t="str">
            <v>JSR - Tata Steel Ltd</v>
          </cell>
        </row>
      </sheetData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0.72957175925925932</v>
          </cell>
        </row>
        <row r="5">
          <cell r="A5" t="str">
            <v>RD1203000744</v>
          </cell>
          <cell r="B5">
            <v>0.70930555555555552</v>
          </cell>
        </row>
        <row r="6">
          <cell r="A6" t="str">
            <v>RS0604000979</v>
          </cell>
          <cell r="B6">
            <v>0.91695601851851849</v>
          </cell>
        </row>
        <row r="7">
          <cell r="A7" t="str">
            <v>RW0105038642</v>
          </cell>
          <cell r="B7">
            <v>0.72943287037037041</v>
          </cell>
        </row>
        <row r="8">
          <cell r="A8" t="str">
            <v>RW0204008111</v>
          </cell>
          <cell r="B8">
            <v>0.25033564814814818</v>
          </cell>
        </row>
        <row r="9">
          <cell r="A9" t="str">
            <v>RW0218129961</v>
          </cell>
          <cell r="B9">
            <v>0.71159722222222221</v>
          </cell>
        </row>
        <row r="10">
          <cell r="A10" t="str">
            <v>RW0403000921</v>
          </cell>
          <cell r="B10">
            <v>0.72918981481481471</v>
          </cell>
        </row>
        <row r="11">
          <cell r="A11" t="str">
            <v>RW0512133959</v>
          </cell>
          <cell r="B11">
            <v>0.72994212962962957</v>
          </cell>
        </row>
        <row r="12">
          <cell r="A12" t="str">
            <v>RW0608113053</v>
          </cell>
          <cell r="B12">
            <v>0.72976851851851843</v>
          </cell>
        </row>
        <row r="13">
          <cell r="A13" t="str">
            <v>RW0621276455</v>
          </cell>
          <cell r="B13">
            <v>0.73001157407407413</v>
          </cell>
        </row>
        <row r="14">
          <cell r="A14" t="str">
            <v>RW0623791155</v>
          </cell>
          <cell r="B14">
            <v>0.91684027777777777</v>
          </cell>
        </row>
        <row r="15">
          <cell r="A15" t="str">
            <v>RW0723808557</v>
          </cell>
          <cell r="B15">
            <v>0.58340277777777783</v>
          </cell>
        </row>
        <row r="16">
          <cell r="A16" t="str">
            <v>RW0807096365</v>
          </cell>
          <cell r="B16">
            <v>0.25017361111111108</v>
          </cell>
        </row>
        <row r="17">
          <cell r="A17" t="str">
            <v>RW0822573453</v>
          </cell>
          <cell r="B17">
            <v>0.70847222222222228</v>
          </cell>
        </row>
        <row r="18">
          <cell r="A18" t="str">
            <v>RW0907097796</v>
          </cell>
          <cell r="B18">
            <v>0.91672453703703705</v>
          </cell>
        </row>
        <row r="19">
          <cell r="A19" t="str">
            <v>RW0911182377</v>
          </cell>
          <cell r="B19">
            <v>0.73944444444444446</v>
          </cell>
        </row>
        <row r="20">
          <cell r="A20" t="str">
            <v>RW0916154862</v>
          </cell>
          <cell r="B20">
            <v>0.72932870370370362</v>
          </cell>
        </row>
        <row r="21">
          <cell r="A21" t="str">
            <v>RW1011186925</v>
          </cell>
          <cell r="B21">
            <v>0.73935185185185182</v>
          </cell>
        </row>
        <row r="22">
          <cell r="A22" t="str">
            <v>RW1019191001</v>
          </cell>
          <cell r="B22">
            <v>0.73927083333333332</v>
          </cell>
        </row>
        <row r="23">
          <cell r="A23" t="str">
            <v>RW1103005471</v>
          </cell>
          <cell r="B23">
            <v>0.7292939814814815</v>
          </cell>
        </row>
        <row r="24">
          <cell r="A24" t="str">
            <v>RW1103006020</v>
          </cell>
          <cell r="B24">
            <v>0.25002314814814813</v>
          </cell>
        </row>
        <row r="25">
          <cell r="A25" t="str">
            <v>RW1110162302</v>
          </cell>
          <cell r="B25">
            <v>0.73008101851851848</v>
          </cell>
        </row>
        <row r="26">
          <cell r="A26" t="str">
            <v>RW1204027584</v>
          </cell>
          <cell r="B26">
            <v>0.75159722222222225</v>
          </cell>
        </row>
        <row r="27">
          <cell r="A27" t="str">
            <v>RW1223956402</v>
          </cell>
          <cell r="B27">
            <v>0.72944444444444445</v>
          </cell>
        </row>
        <row r="28">
          <cell r="A28" t="str">
            <v>VD0722561172</v>
          </cell>
          <cell r="B28">
            <v>0.25190972222222224</v>
          </cell>
        </row>
        <row r="29">
          <cell r="A29" t="str">
            <v>VW0123649596</v>
          </cell>
          <cell r="B29">
            <v>0.72984953703703714</v>
          </cell>
        </row>
        <row r="30">
          <cell r="A30" t="str">
            <v>VW0123657591</v>
          </cell>
          <cell r="B30">
            <v>0.70864583333333331</v>
          </cell>
        </row>
        <row r="31">
          <cell r="A31" t="str">
            <v>(blank)</v>
          </cell>
        </row>
        <row r="32">
          <cell r="A32" t="str">
            <v>Grand Total</v>
          </cell>
          <cell r="B32">
            <v>0.91695601851851849</v>
          </cell>
        </row>
      </sheetData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UT"/>
      <sheetName val="Sheet3"/>
      <sheetName val="Sheet1"/>
    </sheetNames>
    <sheetDataSet>
      <sheetData sheetId="0"/>
      <sheetData sheetId="1">
        <row r="3">
          <cell r="A3" t="str">
            <v>Row Labels</v>
          </cell>
          <cell r="B3" t="str">
            <v>Max of Punch Time/HH:MM:SS</v>
          </cell>
        </row>
        <row r="4">
          <cell r="A4" t="str">
            <v>JW0724246971</v>
          </cell>
          <cell r="B4">
            <v>0.72918981481481471</v>
          </cell>
        </row>
        <row r="5">
          <cell r="A5" t="str">
            <v>RD0918134974</v>
          </cell>
          <cell r="B5">
            <v>0.91734953703703714</v>
          </cell>
        </row>
        <row r="6">
          <cell r="A6" t="str">
            <v>RD1203000744</v>
          </cell>
          <cell r="B6">
            <v>0.71229166666666666</v>
          </cell>
        </row>
        <row r="7">
          <cell r="A7" t="str">
            <v>RS0604000979</v>
          </cell>
          <cell r="B7">
            <v>0.91685185185185192</v>
          </cell>
        </row>
        <row r="8">
          <cell r="A8" t="str">
            <v>RW0105038642</v>
          </cell>
          <cell r="B8">
            <v>0.72952546296296295</v>
          </cell>
        </row>
        <row r="9">
          <cell r="A9" t="str">
            <v>RW0204008111</v>
          </cell>
          <cell r="B9">
            <v>0.25180555555555556</v>
          </cell>
        </row>
        <row r="10">
          <cell r="A10" t="str">
            <v>RW0218129961</v>
          </cell>
          <cell r="B10">
            <v>0.70886574074074071</v>
          </cell>
        </row>
        <row r="11">
          <cell r="A11" t="str">
            <v>RW0305045827</v>
          </cell>
          <cell r="B11">
            <v>0.25114583333333335</v>
          </cell>
        </row>
        <row r="12">
          <cell r="A12" t="str">
            <v>RW0403000921</v>
          </cell>
          <cell r="B12">
            <v>0.72918981481481471</v>
          </cell>
        </row>
        <row r="13">
          <cell r="A13" t="str">
            <v>RW0512133959</v>
          </cell>
          <cell r="B13">
            <v>0.72945601851851849</v>
          </cell>
        </row>
        <row r="14">
          <cell r="A14" t="str">
            <v>RW0608113053</v>
          </cell>
          <cell r="B14">
            <v>0.72986111111111107</v>
          </cell>
        </row>
        <row r="15">
          <cell r="A15" t="str">
            <v>RW0621276455</v>
          </cell>
          <cell r="B15">
            <v>0.72938657407407403</v>
          </cell>
        </row>
        <row r="16">
          <cell r="A16" t="str">
            <v>RW0623791155</v>
          </cell>
          <cell r="B16">
            <v>0.91674768518518512</v>
          </cell>
        </row>
        <row r="17">
          <cell r="A17" t="str">
            <v>RW0723808557</v>
          </cell>
          <cell r="B17">
            <v>0.58346064814814813</v>
          </cell>
        </row>
        <row r="18">
          <cell r="A18" t="str">
            <v>RW0822573453</v>
          </cell>
          <cell r="B18">
            <v>0.70908564814814812</v>
          </cell>
        </row>
        <row r="19">
          <cell r="A19" t="str">
            <v>RW0911182377</v>
          </cell>
          <cell r="B19">
            <v>0.72920138888888886</v>
          </cell>
        </row>
        <row r="20">
          <cell r="A20" t="str">
            <v>RW0916154862</v>
          </cell>
          <cell r="B20">
            <v>0.7292939814814815</v>
          </cell>
        </row>
        <row r="21">
          <cell r="A21" t="str">
            <v>RW1011186925</v>
          </cell>
          <cell r="B21">
            <v>0.72928240740740735</v>
          </cell>
        </row>
        <row r="22">
          <cell r="A22" t="str">
            <v>RW1019191001</v>
          </cell>
          <cell r="B22">
            <v>0.72939814814814818</v>
          </cell>
        </row>
        <row r="23">
          <cell r="A23" t="str">
            <v>RW1103005471</v>
          </cell>
          <cell r="B23">
            <v>0.72984953703703714</v>
          </cell>
        </row>
        <row r="24">
          <cell r="A24" t="str">
            <v>RW1103006020</v>
          </cell>
          <cell r="B24">
            <v>0.25010416666666668</v>
          </cell>
        </row>
        <row r="25">
          <cell r="A25" t="str">
            <v>RW1204027584</v>
          </cell>
          <cell r="B25">
            <v>0.72998842592592583</v>
          </cell>
        </row>
        <row r="26">
          <cell r="A26" t="str">
            <v>VW0123649596</v>
          </cell>
          <cell r="B26">
            <v>0.72993055555555564</v>
          </cell>
        </row>
        <row r="27">
          <cell r="A27" t="str">
            <v>VW0123657591</v>
          </cell>
          <cell r="B27">
            <v>0.70898148148148143</v>
          </cell>
        </row>
        <row r="28">
          <cell r="A28" t="str">
            <v>(blank)</v>
          </cell>
        </row>
        <row r="29">
          <cell r="A29" t="str">
            <v>Grand Total</v>
          </cell>
          <cell r="B29">
            <v>0.91734953703703714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A2" sqref="A2:I5"/>
    </sheetView>
  </sheetViews>
  <sheetFormatPr defaultRowHeight="15" x14ac:dyDescent="0.25"/>
  <sheetData>
    <row r="1" spans="1:18" s="3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1" t="s">
        <v>16</v>
      </c>
      <c r="R1" s="12"/>
    </row>
    <row r="2" spans="1:18" ht="26.25" x14ac:dyDescent="0.25">
      <c r="A2" s="34">
        <v>46128</v>
      </c>
      <c r="B2" s="16" t="s">
        <v>22</v>
      </c>
      <c r="C2" s="17" t="s">
        <v>23</v>
      </c>
      <c r="D2" t="s">
        <v>19</v>
      </c>
      <c r="E2" s="33"/>
      <c r="F2" s="33"/>
      <c r="G2" s="33"/>
      <c r="H2" s="35">
        <v>0.77236111111111105</v>
      </c>
      <c r="I2" s="35" t="e">
        <f>VLOOKUP(B2,[17]OUT!$A$3:$B$29,2,0)</f>
        <v>#N/A</v>
      </c>
    </row>
    <row r="3" spans="1:18" x14ac:dyDescent="0.25">
      <c r="A3" s="34">
        <v>46128</v>
      </c>
      <c r="B3" s="18" t="s">
        <v>24</v>
      </c>
      <c r="C3" s="19" t="s">
        <v>25</v>
      </c>
      <c r="D3" t="s">
        <v>19</v>
      </c>
      <c r="E3" s="33"/>
      <c r="F3" s="33"/>
      <c r="G3" s="33"/>
      <c r="H3" s="35">
        <v>0.78240740740740744</v>
      </c>
      <c r="I3" s="35">
        <f>VLOOKUP(B3,[17]OUT!$A$3:$B$29,2,0)</f>
        <v>0.25114583333333335</v>
      </c>
    </row>
    <row r="4" spans="1:18" ht="26.25" x14ac:dyDescent="0.25">
      <c r="A4" s="34">
        <v>46128</v>
      </c>
      <c r="B4" s="16" t="s">
        <v>45</v>
      </c>
      <c r="C4" s="23" t="s">
        <v>46</v>
      </c>
      <c r="D4" t="s">
        <v>42</v>
      </c>
      <c r="E4" s="33"/>
      <c r="F4" s="33"/>
      <c r="G4" s="33"/>
      <c r="H4" s="35">
        <v>0.90438657407407408</v>
      </c>
      <c r="I4" s="35">
        <f>VLOOKUP(B4,[17]OUT!$A$3:$B$29,2,0)</f>
        <v>0.25010416666666668</v>
      </c>
    </row>
    <row r="5" spans="1:18" ht="26.25" x14ac:dyDescent="0.25">
      <c r="A5" s="34">
        <v>46128</v>
      </c>
      <c r="B5" s="25" t="s">
        <v>80</v>
      </c>
      <c r="C5" s="27" t="s">
        <v>81</v>
      </c>
      <c r="D5" t="s">
        <v>53</v>
      </c>
      <c r="E5" s="33"/>
      <c r="F5" s="33"/>
      <c r="G5" s="33"/>
      <c r="H5" s="35">
        <v>0.90421296296296294</v>
      </c>
      <c r="I5" s="35">
        <f>VLOOKUP(B5,[17]OUT!$A$3:$B$29,2,0)</f>
        <v>0.25180555555555556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5"/>
  <sheetViews>
    <sheetView tabSelected="1" topLeftCell="A279" zoomScaleNormal="100" workbookViewId="0">
      <selection activeCell="I286" sqref="I286"/>
    </sheetView>
  </sheetViews>
  <sheetFormatPr defaultRowHeight="15" x14ac:dyDescent="0.25"/>
  <cols>
    <col min="1" max="1" width="9.85546875" style="33" bestFit="1" customWidth="1"/>
    <col min="2" max="2" width="21.140625" style="33" customWidth="1"/>
    <col min="3" max="3" width="28.28515625" style="33" bestFit="1" customWidth="1"/>
    <col min="4" max="4" width="19" style="33" bestFit="1" customWidth="1"/>
    <col min="5" max="16" width="9.140625" style="33"/>
    <col min="17" max="17" width="15.28515625" style="33" customWidth="1"/>
    <col min="18" max="16384" width="9.140625" style="33"/>
  </cols>
  <sheetData>
    <row r="1" spans="1:1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1" t="s">
        <v>16</v>
      </c>
    </row>
    <row r="2" spans="1:18" x14ac:dyDescent="0.25">
      <c r="A2" s="11">
        <v>46113</v>
      </c>
      <c r="B2" s="14" t="s">
        <v>17</v>
      </c>
      <c r="C2" s="15" t="s">
        <v>18</v>
      </c>
      <c r="D2" t="s">
        <v>19</v>
      </c>
      <c r="E2" s="12" t="s">
        <v>84</v>
      </c>
      <c r="F2" s="13">
        <v>0.35416666666666669</v>
      </c>
      <c r="G2" s="13">
        <v>0.72916666666666663</v>
      </c>
      <c r="H2" s="13">
        <f>VLOOKUP(B2,[1]IN!$A$2:$L$29,10,0)</f>
        <v>0.3402546296296296</v>
      </c>
      <c r="I2" s="13">
        <f>VLOOKUP(B2,[1]OUT!$A$4:$B$32,2,0)</f>
        <v>0.73024305555555558</v>
      </c>
      <c r="J2" s="13"/>
      <c r="K2" s="12"/>
      <c r="L2" s="7">
        <f t="shared" ref="L2:L28" si="0">IF(OR(H2="",F2=""),0,IF(H2&lt;=(F2+TIME(0,15,0)),F2,CEILING(H2,TIME(0,30,0))))</f>
        <v>0.35416666666666669</v>
      </c>
      <c r="M2" s="8">
        <f t="shared" ref="M2:M28" si="1">IF(OR(I2="",G2=""),0,(FLOOR(I2,TIME(0,30,0))))</f>
        <v>0.72916666666666663</v>
      </c>
      <c r="N2" s="9">
        <v>1</v>
      </c>
      <c r="O2" s="10">
        <f t="shared" ref="O2:O28" si="2">IF((N2=1),(MOD(MIN(M2,G2)-L2,1)-TIME(1,0,0)),(MOD(MIN(M2,G2)-L2,1)))</f>
        <v>0.33333333333333326</v>
      </c>
      <c r="P2" s="7">
        <f t="shared" ref="P2:P65" si="3">IF(M2&gt;G2,IF(M2-G2=TIME(0,30,0),TIME(0,0,0),M2-G2),TIME(0,0,0))</f>
        <v>0</v>
      </c>
      <c r="Q2" s="7">
        <f>IF(OR(D2="HS"),P2+O2,O2)</f>
        <v>0.33333333333333326</v>
      </c>
      <c r="R2" s="12"/>
    </row>
    <row r="3" spans="1:18" x14ac:dyDescent="0.25">
      <c r="A3" s="11">
        <v>46113</v>
      </c>
      <c r="B3" s="18" t="s">
        <v>24</v>
      </c>
      <c r="C3" s="19" t="s">
        <v>25</v>
      </c>
      <c r="D3" t="s">
        <v>19</v>
      </c>
      <c r="E3" s="12" t="s">
        <v>82</v>
      </c>
      <c r="F3" s="13">
        <v>0.25</v>
      </c>
      <c r="G3" s="13">
        <v>0.58333333333333337</v>
      </c>
      <c r="H3" s="13">
        <f>VLOOKUP(B3,[1]IN!$A$2:$L$29,10,0)</f>
        <v>0.2429513888888889</v>
      </c>
      <c r="I3" s="13">
        <f>VLOOKUP(B3,[1]OUT!$A$4:$B$32,2,0)</f>
        <v>0.70848379629629632</v>
      </c>
      <c r="J3" s="13"/>
      <c r="K3" s="12"/>
      <c r="L3" s="7">
        <f t="shared" si="0"/>
        <v>0.25</v>
      </c>
      <c r="M3" s="8">
        <f t="shared" si="1"/>
        <v>0.70833333333333326</v>
      </c>
      <c r="N3" s="9">
        <v>0</v>
      </c>
      <c r="O3" s="10">
        <f t="shared" si="2"/>
        <v>0.33333333333333337</v>
      </c>
      <c r="P3" s="7">
        <f t="shared" si="3"/>
        <v>0.12499999999999989</v>
      </c>
      <c r="Q3" s="7">
        <f t="shared" ref="Q3:Q66" si="4">IF(OR(D3="HS"),P3+O3,O3)</f>
        <v>0.45833333333333326</v>
      </c>
      <c r="R3" s="12"/>
    </row>
    <row r="4" spans="1:18" x14ac:dyDescent="0.25">
      <c r="A4" s="11">
        <v>46113</v>
      </c>
      <c r="B4" s="16" t="s">
        <v>26</v>
      </c>
      <c r="C4" s="17" t="s">
        <v>27</v>
      </c>
      <c r="D4" t="s">
        <v>19</v>
      </c>
      <c r="E4" s="12" t="s">
        <v>84</v>
      </c>
      <c r="F4" s="13">
        <v>0.35416666666666669</v>
      </c>
      <c r="G4" s="13">
        <v>0.72916666666666663</v>
      </c>
      <c r="H4" s="13">
        <f>VLOOKUP(B4,[1]IN!$A$2:$L$29,10,0)</f>
        <v>0.32740740740740742</v>
      </c>
      <c r="I4" s="13">
        <f>VLOOKUP(B4,[1]OUT!$A$4:$B$32,2,0)</f>
        <v>0.79210648148148144</v>
      </c>
      <c r="J4" s="13"/>
      <c r="K4" s="12"/>
      <c r="L4" s="7">
        <f t="shared" si="0"/>
        <v>0.35416666666666669</v>
      </c>
      <c r="M4" s="8">
        <f t="shared" si="1"/>
        <v>0.79166666666666663</v>
      </c>
      <c r="N4" s="9">
        <v>1</v>
      </c>
      <c r="O4" s="10">
        <f t="shared" si="2"/>
        <v>0.33333333333333326</v>
      </c>
      <c r="P4" s="7">
        <f t="shared" si="3"/>
        <v>6.25E-2</v>
      </c>
      <c r="Q4" s="7">
        <f t="shared" si="4"/>
        <v>0.39583333333333326</v>
      </c>
      <c r="R4" s="12"/>
    </row>
    <row r="5" spans="1:18" x14ac:dyDescent="0.25">
      <c r="A5" s="11">
        <v>46113</v>
      </c>
      <c r="B5" s="16" t="s">
        <v>28</v>
      </c>
      <c r="C5" s="17" t="s">
        <v>29</v>
      </c>
      <c r="D5" t="s">
        <v>19</v>
      </c>
      <c r="E5" s="12" t="s">
        <v>84</v>
      </c>
      <c r="F5" s="13">
        <v>0.35416666666666669</v>
      </c>
      <c r="G5" s="13">
        <v>0.72916666666666663</v>
      </c>
      <c r="H5" s="13">
        <f>VLOOKUP(B5,[1]IN!$A$2:$L$29,10,0)</f>
        <v>0.32805555555555554</v>
      </c>
      <c r="I5" s="13">
        <f>VLOOKUP(B5,[1]OUT!$A$4:$B$32,2,0)</f>
        <v>0.79180555555555554</v>
      </c>
      <c r="J5" s="13"/>
      <c r="K5" s="12"/>
      <c r="L5" s="7">
        <f t="shared" si="0"/>
        <v>0.35416666666666669</v>
      </c>
      <c r="M5" s="8">
        <f t="shared" si="1"/>
        <v>0.79166666666666663</v>
      </c>
      <c r="N5" s="9">
        <v>1</v>
      </c>
      <c r="O5" s="10">
        <f t="shared" si="2"/>
        <v>0.33333333333333326</v>
      </c>
      <c r="P5" s="7">
        <f t="shared" si="3"/>
        <v>6.25E-2</v>
      </c>
      <c r="Q5" s="7">
        <f t="shared" si="4"/>
        <v>0.39583333333333326</v>
      </c>
      <c r="R5" s="12"/>
    </row>
    <row r="6" spans="1:18" x14ac:dyDescent="0.25">
      <c r="A6" s="11">
        <v>46113</v>
      </c>
      <c r="B6" s="16" t="s">
        <v>32</v>
      </c>
      <c r="C6" s="20" t="s">
        <v>33</v>
      </c>
      <c r="D6" t="s">
        <v>19</v>
      </c>
      <c r="E6" s="12" t="s">
        <v>84</v>
      </c>
      <c r="F6" s="13">
        <v>0.35416666666666669</v>
      </c>
      <c r="G6" s="13">
        <v>0.72916666666666663</v>
      </c>
      <c r="H6" s="13">
        <f>VLOOKUP(B6,[1]IN!$A$2:$L$29,10,0)</f>
        <v>0.35678240740740735</v>
      </c>
      <c r="I6" s="13">
        <f>VLOOKUP(B6,[1]OUT!$A$4:$B$32,2,0)</f>
        <v>0.73016203703703697</v>
      </c>
      <c r="J6" s="13"/>
      <c r="K6" s="12"/>
      <c r="L6" s="7">
        <f t="shared" si="0"/>
        <v>0.35416666666666669</v>
      </c>
      <c r="M6" s="8">
        <f t="shared" si="1"/>
        <v>0.72916666666666663</v>
      </c>
      <c r="N6" s="9">
        <v>1</v>
      </c>
      <c r="O6" s="10">
        <f t="shared" si="2"/>
        <v>0.33333333333333326</v>
      </c>
      <c r="P6" s="7">
        <f t="shared" si="3"/>
        <v>0</v>
      </c>
      <c r="Q6" s="7">
        <f t="shared" si="4"/>
        <v>0.33333333333333326</v>
      </c>
      <c r="R6" s="12"/>
    </row>
    <row r="7" spans="1:18" x14ac:dyDescent="0.25">
      <c r="A7" s="11">
        <v>46113</v>
      </c>
      <c r="B7" s="16" t="s">
        <v>34</v>
      </c>
      <c r="C7" s="17" t="s">
        <v>35</v>
      </c>
      <c r="D7" t="s">
        <v>19</v>
      </c>
      <c r="E7" s="12" t="s">
        <v>84</v>
      </c>
      <c r="F7" s="13">
        <v>0.35416666666666669</v>
      </c>
      <c r="G7" s="13">
        <v>0.72916666666666663</v>
      </c>
      <c r="H7" s="13">
        <f>VLOOKUP(B7,[1]IN!$A$2:$L$29,10,0)</f>
        <v>0.34631944444444446</v>
      </c>
      <c r="I7" s="13">
        <f>VLOOKUP(B7,[1]OUT!$A$4:$B$32,2,0)</f>
        <v>0.72969907407407408</v>
      </c>
      <c r="J7" s="13"/>
      <c r="K7" s="12"/>
      <c r="L7" s="7">
        <f t="shared" si="0"/>
        <v>0.35416666666666669</v>
      </c>
      <c r="M7" s="8">
        <f t="shared" si="1"/>
        <v>0.72916666666666663</v>
      </c>
      <c r="N7" s="9">
        <v>1</v>
      </c>
      <c r="O7" s="10">
        <f t="shared" si="2"/>
        <v>0.33333333333333326</v>
      </c>
      <c r="P7" s="7">
        <f t="shared" si="3"/>
        <v>0</v>
      </c>
      <c r="Q7" s="7">
        <f t="shared" si="4"/>
        <v>0.33333333333333326</v>
      </c>
      <c r="R7" s="12"/>
    </row>
    <row r="8" spans="1:18" x14ac:dyDescent="0.25">
      <c r="A8" s="11">
        <v>46113</v>
      </c>
      <c r="B8" s="16" t="s">
        <v>36</v>
      </c>
      <c r="C8" s="21" t="s">
        <v>37</v>
      </c>
      <c r="D8" t="s">
        <v>19</v>
      </c>
      <c r="E8" s="12" t="s">
        <v>84</v>
      </c>
      <c r="F8" s="13">
        <v>0.35416666666666669</v>
      </c>
      <c r="G8" s="13">
        <v>0.72916666666666663</v>
      </c>
      <c r="H8" s="13">
        <f>VLOOKUP(B8,[1]IN!$A$2:$L$29,10,0)</f>
        <v>0.35443287037037036</v>
      </c>
      <c r="I8" s="13">
        <f>VLOOKUP(B8,[1]OUT!$A$4:$B$32,2,0)</f>
        <v>0.73038194444444438</v>
      </c>
      <c r="J8" s="13"/>
      <c r="K8" s="12"/>
      <c r="L8" s="7">
        <f t="shared" si="0"/>
        <v>0.35416666666666669</v>
      </c>
      <c r="M8" s="8">
        <f t="shared" si="1"/>
        <v>0.72916666666666663</v>
      </c>
      <c r="N8" s="9">
        <v>1</v>
      </c>
      <c r="O8" s="10">
        <f t="shared" si="2"/>
        <v>0.33333333333333326</v>
      </c>
      <c r="P8" s="7">
        <f t="shared" si="3"/>
        <v>0</v>
      </c>
      <c r="Q8" s="7">
        <f t="shared" si="4"/>
        <v>0.33333333333333326</v>
      </c>
      <c r="R8" s="12"/>
    </row>
    <row r="9" spans="1:18" x14ac:dyDescent="0.25">
      <c r="A9" s="11">
        <v>46113</v>
      </c>
      <c r="B9" s="16" t="s">
        <v>38</v>
      </c>
      <c r="C9" s="21" t="s">
        <v>39</v>
      </c>
      <c r="D9" t="s">
        <v>19</v>
      </c>
      <c r="E9" s="12" t="s">
        <v>84</v>
      </c>
      <c r="F9" s="13">
        <v>0.35416666666666669</v>
      </c>
      <c r="G9" s="13">
        <v>0.72916666666666663</v>
      </c>
      <c r="H9" s="13">
        <f>VLOOKUP(B9,[1]IN!$A$2:$L$29,10,0)</f>
        <v>0.34012731481481479</v>
      </c>
      <c r="I9" s="13">
        <f>VLOOKUP(B9,[1]OUT!$A$4:$B$32,2,0)</f>
        <v>0.73006944444444455</v>
      </c>
      <c r="J9" s="13"/>
      <c r="K9" s="12"/>
      <c r="L9" s="7">
        <f t="shared" si="0"/>
        <v>0.35416666666666669</v>
      </c>
      <c r="M9" s="8">
        <f t="shared" si="1"/>
        <v>0.72916666666666663</v>
      </c>
      <c r="N9" s="9">
        <v>1</v>
      </c>
      <c r="O9" s="10">
        <f t="shared" si="2"/>
        <v>0.33333333333333326</v>
      </c>
      <c r="P9" s="7">
        <f t="shared" si="3"/>
        <v>0</v>
      </c>
      <c r="Q9" s="7">
        <f t="shared" si="4"/>
        <v>0.33333333333333326</v>
      </c>
      <c r="R9" s="12"/>
    </row>
    <row r="10" spans="1:18" x14ac:dyDescent="0.25">
      <c r="A10" s="11">
        <v>46113</v>
      </c>
      <c r="B10" s="16" t="s">
        <v>40</v>
      </c>
      <c r="C10" s="22" t="s">
        <v>41</v>
      </c>
      <c r="D10" t="s">
        <v>42</v>
      </c>
      <c r="E10" s="12" t="s">
        <v>84</v>
      </c>
      <c r="F10" s="13">
        <v>0.35416666666666669</v>
      </c>
      <c r="G10" s="13">
        <v>0.72916666666666663</v>
      </c>
      <c r="H10" s="13">
        <f>VLOOKUP(B10,[1]IN!$A$2:$L$29,10,0)</f>
        <v>0.33274305555555556</v>
      </c>
      <c r="I10" s="13">
        <f>VLOOKUP(B10,[1]OUT!$A$4:$B$32,2,0)</f>
        <v>0.73100694444444436</v>
      </c>
      <c r="J10" s="13"/>
      <c r="K10" s="12"/>
      <c r="L10" s="7">
        <f t="shared" si="0"/>
        <v>0.35416666666666669</v>
      </c>
      <c r="M10" s="8">
        <f t="shared" si="1"/>
        <v>0.72916666666666663</v>
      </c>
      <c r="N10" s="9">
        <v>1</v>
      </c>
      <c r="O10" s="10">
        <f t="shared" si="2"/>
        <v>0.33333333333333326</v>
      </c>
      <c r="P10" s="7">
        <f t="shared" si="3"/>
        <v>0</v>
      </c>
      <c r="Q10" s="7">
        <f t="shared" si="4"/>
        <v>0.33333333333333326</v>
      </c>
      <c r="R10" s="12"/>
    </row>
    <row r="11" spans="1:18" x14ac:dyDescent="0.25">
      <c r="A11" s="11">
        <v>46113</v>
      </c>
      <c r="B11" s="16" t="s">
        <v>43</v>
      </c>
      <c r="C11" s="23" t="s">
        <v>44</v>
      </c>
      <c r="D11" t="s">
        <v>42</v>
      </c>
      <c r="E11" s="12" t="s">
        <v>84</v>
      </c>
      <c r="F11" s="13">
        <v>0.35416666666666669</v>
      </c>
      <c r="G11" s="13">
        <v>0.72916666666666663</v>
      </c>
      <c r="H11" s="13">
        <f>VLOOKUP(B11,[1]IN!$A$2:$L$29,10,0)</f>
        <v>0.35006944444444449</v>
      </c>
      <c r="I11" s="13">
        <f>VLOOKUP(B11,[1]OUT!$A$4:$B$32,2,0)</f>
        <v>0.7299768518518519</v>
      </c>
      <c r="J11" s="13"/>
      <c r="K11" s="12"/>
      <c r="L11" s="7">
        <f t="shared" si="0"/>
        <v>0.35416666666666669</v>
      </c>
      <c r="M11" s="8">
        <f t="shared" si="1"/>
        <v>0.72916666666666663</v>
      </c>
      <c r="N11" s="9">
        <v>1</v>
      </c>
      <c r="O11" s="10">
        <f t="shared" si="2"/>
        <v>0.33333333333333326</v>
      </c>
      <c r="P11" s="7">
        <f t="shared" si="3"/>
        <v>0</v>
      </c>
      <c r="Q11" s="7">
        <f t="shared" si="4"/>
        <v>0.33333333333333326</v>
      </c>
      <c r="R11" s="12"/>
    </row>
    <row r="12" spans="1:18" x14ac:dyDescent="0.25">
      <c r="A12" s="11">
        <v>46113</v>
      </c>
      <c r="B12" s="16" t="s">
        <v>45</v>
      </c>
      <c r="C12" s="23" t="s">
        <v>46</v>
      </c>
      <c r="D12" t="s">
        <v>42</v>
      </c>
      <c r="E12" s="12" t="s">
        <v>85</v>
      </c>
      <c r="F12" s="13">
        <v>0.58333333333333337</v>
      </c>
      <c r="G12" s="13">
        <v>0.91666666666666663</v>
      </c>
      <c r="H12" s="13">
        <f>VLOOKUP(B12,[1]IN!$A$2:$L$29,10,0)</f>
        <v>0.57468750000000002</v>
      </c>
      <c r="I12" s="13">
        <f>VLOOKUP(B12,[1]OUT!$A$4:$B$32,2,0)</f>
        <v>0.91672453703703705</v>
      </c>
      <c r="J12" s="13"/>
      <c r="K12" s="12"/>
      <c r="L12" s="7">
        <f t="shared" si="0"/>
        <v>0.58333333333333337</v>
      </c>
      <c r="M12" s="8">
        <f t="shared" si="1"/>
        <v>0.91666666666666663</v>
      </c>
      <c r="N12" s="9">
        <v>0</v>
      </c>
      <c r="O12" s="10">
        <f t="shared" si="2"/>
        <v>0.33333333333333326</v>
      </c>
      <c r="P12" s="7">
        <f t="shared" si="3"/>
        <v>0</v>
      </c>
      <c r="Q12" s="7">
        <f t="shared" si="4"/>
        <v>0.33333333333333326</v>
      </c>
      <c r="R12" s="12"/>
    </row>
    <row r="13" spans="1:18" x14ac:dyDescent="0.25">
      <c r="A13" s="11">
        <v>46113</v>
      </c>
      <c r="B13" s="16" t="s">
        <v>47</v>
      </c>
      <c r="C13" s="23" t="s">
        <v>48</v>
      </c>
      <c r="D13" t="s">
        <v>42</v>
      </c>
      <c r="E13" s="12" t="s">
        <v>84</v>
      </c>
      <c r="F13" s="13">
        <v>0.35416666666666669</v>
      </c>
      <c r="G13" s="13">
        <v>0.72916666666666663</v>
      </c>
      <c r="H13" s="13">
        <f>VLOOKUP(B13,[1]IN!$A$2:$L$29,10,0)</f>
        <v>0.34576388888888893</v>
      </c>
      <c r="I13" s="13">
        <f>VLOOKUP(B13,[1]OUT!$A$4:$B$32,2,0)</f>
        <v>0.73203703703703704</v>
      </c>
      <c r="J13" s="13"/>
      <c r="K13" s="12"/>
      <c r="L13" s="7">
        <f t="shared" si="0"/>
        <v>0.35416666666666669</v>
      </c>
      <c r="M13" s="8">
        <f t="shared" si="1"/>
        <v>0.72916666666666663</v>
      </c>
      <c r="N13" s="9">
        <v>1</v>
      </c>
      <c r="O13" s="10">
        <f t="shared" si="2"/>
        <v>0.33333333333333326</v>
      </c>
      <c r="P13" s="7">
        <f t="shared" si="3"/>
        <v>0</v>
      </c>
      <c r="Q13" s="7">
        <f t="shared" si="4"/>
        <v>0.33333333333333326</v>
      </c>
      <c r="R13" s="12"/>
    </row>
    <row r="14" spans="1:18" x14ac:dyDescent="0.25">
      <c r="A14" s="11">
        <v>46113</v>
      </c>
      <c r="B14" s="16" t="s">
        <v>49</v>
      </c>
      <c r="C14" s="24" t="s">
        <v>50</v>
      </c>
      <c r="D14" t="s">
        <v>42</v>
      </c>
      <c r="E14" s="12" t="s">
        <v>84</v>
      </c>
      <c r="F14" s="13">
        <v>0.35416666666666669</v>
      </c>
      <c r="G14" s="13">
        <v>0.72916666666666663</v>
      </c>
      <c r="H14" s="13">
        <f>VLOOKUP(B14,[1]IN!$A$2:$L$29,10,0)</f>
        <v>0.34366898148148151</v>
      </c>
      <c r="I14" s="13">
        <f>VLOOKUP(B14,[1]OUT!$A$4:$B$32,2,0)</f>
        <v>0.83729166666666666</v>
      </c>
      <c r="J14" s="13"/>
      <c r="K14" s="12"/>
      <c r="L14" s="7">
        <f t="shared" si="0"/>
        <v>0.35416666666666669</v>
      </c>
      <c r="M14" s="8">
        <f t="shared" si="1"/>
        <v>0.83333333333333326</v>
      </c>
      <c r="N14" s="9">
        <v>1</v>
      </c>
      <c r="O14" s="10">
        <f t="shared" si="2"/>
        <v>0.33333333333333326</v>
      </c>
      <c r="P14" s="7">
        <f t="shared" si="3"/>
        <v>0.10416666666666663</v>
      </c>
      <c r="Q14" s="7">
        <f t="shared" si="4"/>
        <v>0.33333333333333326</v>
      </c>
      <c r="R14" s="12"/>
    </row>
    <row r="15" spans="1:18" x14ac:dyDescent="0.25">
      <c r="A15" s="11">
        <v>46113</v>
      </c>
      <c r="B15" s="25" t="s">
        <v>51</v>
      </c>
      <c r="C15" s="26" t="s">
        <v>52</v>
      </c>
      <c r="D15" t="s">
        <v>53</v>
      </c>
      <c r="E15" s="12" t="s">
        <v>84</v>
      </c>
      <c r="F15" s="13">
        <v>0.35416666666666669</v>
      </c>
      <c r="G15" s="13">
        <v>0.72916666666666663</v>
      </c>
      <c r="H15" s="13">
        <f>VLOOKUP(B15,[1]IN!$A$2:$L$29,10,0)</f>
        <v>0.34961805555555553</v>
      </c>
      <c r="I15" s="13">
        <f>VLOOKUP(B15,[1]OUT!$A$4:$B$32,2,0)</f>
        <v>0.72946759259259253</v>
      </c>
      <c r="J15" s="13"/>
      <c r="K15" s="12"/>
      <c r="L15" s="7">
        <f t="shared" si="0"/>
        <v>0.35416666666666669</v>
      </c>
      <c r="M15" s="8">
        <f t="shared" si="1"/>
        <v>0.72916666666666663</v>
      </c>
      <c r="N15" s="9">
        <v>1</v>
      </c>
      <c r="O15" s="10">
        <f t="shared" si="2"/>
        <v>0.33333333333333326</v>
      </c>
      <c r="P15" s="7">
        <f t="shared" si="3"/>
        <v>0</v>
      </c>
      <c r="Q15" s="7">
        <f t="shared" si="4"/>
        <v>0.33333333333333326</v>
      </c>
      <c r="R15" s="12"/>
    </row>
    <row r="16" spans="1:18" x14ac:dyDescent="0.25">
      <c r="A16" s="11">
        <v>46113</v>
      </c>
      <c r="B16" s="25" t="s">
        <v>54</v>
      </c>
      <c r="C16" s="26" t="s">
        <v>55</v>
      </c>
      <c r="D16" t="s">
        <v>53</v>
      </c>
      <c r="E16" s="12" t="s">
        <v>83</v>
      </c>
      <c r="F16" s="13">
        <v>0.33333333333333331</v>
      </c>
      <c r="G16" s="13">
        <v>0.70833333333333337</v>
      </c>
      <c r="H16" s="13">
        <f>VLOOKUP(B16,[1]IN!$A$2:$L$29,10,0)</f>
        <v>0.3220486111111111</v>
      </c>
      <c r="I16" s="13">
        <f>VLOOKUP(B16,[1]OUT!$A$4:$B$32,2,0)</f>
        <v>0.7095717592592593</v>
      </c>
      <c r="J16" s="13"/>
      <c r="K16" s="12"/>
      <c r="L16" s="7">
        <f t="shared" si="0"/>
        <v>0.33333333333333331</v>
      </c>
      <c r="M16" s="8">
        <f t="shared" si="1"/>
        <v>0.70833333333333326</v>
      </c>
      <c r="N16" s="9">
        <v>1</v>
      </c>
      <c r="O16" s="10">
        <f t="shared" si="2"/>
        <v>0.33333333333333326</v>
      </c>
      <c r="P16" s="7">
        <f t="shared" si="3"/>
        <v>0</v>
      </c>
      <c r="Q16" s="7">
        <f t="shared" si="4"/>
        <v>0.33333333333333326</v>
      </c>
      <c r="R16" s="12"/>
    </row>
    <row r="17" spans="1:18" x14ac:dyDescent="0.25">
      <c r="A17" s="11">
        <v>46113</v>
      </c>
      <c r="B17" s="25" t="s">
        <v>56</v>
      </c>
      <c r="C17" s="27" t="s">
        <v>57</v>
      </c>
      <c r="D17" t="s">
        <v>53</v>
      </c>
      <c r="E17" s="12" t="s">
        <v>84</v>
      </c>
      <c r="F17" s="13">
        <v>0.35416666666666669</v>
      </c>
      <c r="G17" s="13">
        <v>0.72916666666666663</v>
      </c>
      <c r="H17" s="13">
        <f>VLOOKUP(B17,[1]IN!$A$2:$L$29,10,0)</f>
        <v>0.35136574074074073</v>
      </c>
      <c r="I17" s="13">
        <f>VLOOKUP(B17,[1]OUT!$A$4:$B$32,2,0)</f>
        <v>0.72986111111111107</v>
      </c>
      <c r="J17" s="13"/>
      <c r="K17" s="12"/>
      <c r="L17" s="7">
        <f t="shared" si="0"/>
        <v>0.35416666666666669</v>
      </c>
      <c r="M17" s="8">
        <f t="shared" si="1"/>
        <v>0.72916666666666663</v>
      </c>
      <c r="N17" s="9">
        <v>1</v>
      </c>
      <c r="O17" s="10">
        <f t="shared" si="2"/>
        <v>0.33333333333333326</v>
      </c>
      <c r="P17" s="7">
        <f t="shared" si="3"/>
        <v>0</v>
      </c>
      <c r="Q17" s="7">
        <f t="shared" si="4"/>
        <v>0.33333333333333326</v>
      </c>
      <c r="R17" s="12"/>
    </row>
    <row r="18" spans="1:18" x14ac:dyDescent="0.25">
      <c r="A18" s="11">
        <v>46113</v>
      </c>
      <c r="B18" s="25" t="s">
        <v>58</v>
      </c>
      <c r="C18" s="28" t="s">
        <v>59</v>
      </c>
      <c r="D18" t="s">
        <v>53</v>
      </c>
      <c r="E18" s="12" t="s">
        <v>84</v>
      </c>
      <c r="F18" s="13">
        <v>0.35416666666666669</v>
      </c>
      <c r="G18" s="13">
        <v>0.72916666666666663</v>
      </c>
      <c r="H18" s="13">
        <f>VLOOKUP(B18,[1]IN!$A$2:$L$29,10,0)</f>
        <v>0.33696759259259257</v>
      </c>
      <c r="I18" s="13">
        <f>VLOOKUP(B18,[1]OUT!$A$4:$B$32,2,0)</f>
        <v>0.72979166666666673</v>
      </c>
      <c r="J18" s="13"/>
      <c r="K18" s="12"/>
      <c r="L18" s="7">
        <f t="shared" si="0"/>
        <v>0.35416666666666669</v>
      </c>
      <c r="M18" s="8">
        <f t="shared" si="1"/>
        <v>0.72916666666666663</v>
      </c>
      <c r="N18" s="9">
        <v>1</v>
      </c>
      <c r="O18" s="10">
        <f t="shared" si="2"/>
        <v>0.33333333333333326</v>
      </c>
      <c r="P18" s="7">
        <f t="shared" si="3"/>
        <v>0</v>
      </c>
      <c r="Q18" s="7">
        <f t="shared" si="4"/>
        <v>0.33333333333333326</v>
      </c>
      <c r="R18" s="12"/>
    </row>
    <row r="19" spans="1:18" x14ac:dyDescent="0.25">
      <c r="A19" s="11">
        <v>46113</v>
      </c>
      <c r="B19" s="25" t="s">
        <v>62</v>
      </c>
      <c r="C19" s="30" t="s">
        <v>63</v>
      </c>
      <c r="D19" t="s">
        <v>53</v>
      </c>
      <c r="E19" s="12" t="s">
        <v>84</v>
      </c>
      <c r="F19" s="13">
        <v>0.35416666666666669</v>
      </c>
      <c r="G19" s="13">
        <v>0.72916666666666663</v>
      </c>
      <c r="H19" s="13">
        <f>VLOOKUP(B19,[1]IN!$A$2:$L$29,10,0)</f>
        <v>0.36138888888888893</v>
      </c>
      <c r="I19" s="13">
        <f>VLOOKUP(B19,[1]OUT!$A$4:$B$32,2,0)</f>
        <v>0.73090277777777779</v>
      </c>
      <c r="J19" s="12"/>
      <c r="K19" s="12"/>
      <c r="L19" s="7">
        <f t="shared" si="0"/>
        <v>0.35416666666666669</v>
      </c>
      <c r="M19" s="8">
        <f t="shared" si="1"/>
        <v>0.72916666666666663</v>
      </c>
      <c r="N19" s="9">
        <v>1</v>
      </c>
      <c r="O19" s="10">
        <f t="shared" si="2"/>
        <v>0.33333333333333326</v>
      </c>
      <c r="P19" s="7">
        <f t="shared" si="3"/>
        <v>0</v>
      </c>
      <c r="Q19" s="7">
        <f t="shared" si="4"/>
        <v>0.33333333333333326</v>
      </c>
      <c r="R19" s="12"/>
    </row>
    <row r="20" spans="1:18" x14ac:dyDescent="0.25">
      <c r="A20" s="11">
        <v>46113</v>
      </c>
      <c r="B20" s="25" t="s">
        <v>64</v>
      </c>
      <c r="C20" s="30" t="s">
        <v>65</v>
      </c>
      <c r="D20" t="s">
        <v>53</v>
      </c>
      <c r="E20" s="12" t="s">
        <v>83</v>
      </c>
      <c r="F20" s="13">
        <v>0.33333333333333331</v>
      </c>
      <c r="G20" s="13">
        <v>0.70833333333333337</v>
      </c>
      <c r="H20" s="13">
        <f>VLOOKUP(B20,[1]IN!$A$2:$L$29,10,0)</f>
        <v>0.33922453703703703</v>
      </c>
      <c r="I20" s="13">
        <f>VLOOKUP(B20,[1]OUT!$A$4:$B$32,2,0)</f>
        <v>0.72633101851851845</v>
      </c>
      <c r="J20" s="12"/>
      <c r="K20" s="12"/>
      <c r="L20" s="7">
        <f t="shared" si="0"/>
        <v>0.33333333333333331</v>
      </c>
      <c r="M20" s="8">
        <f t="shared" si="1"/>
        <v>0.70833333333333326</v>
      </c>
      <c r="N20" s="9">
        <v>1</v>
      </c>
      <c r="O20" s="10">
        <f t="shared" si="2"/>
        <v>0.33333333333333326</v>
      </c>
      <c r="P20" s="7">
        <f t="shared" si="3"/>
        <v>0</v>
      </c>
      <c r="Q20" s="7">
        <f t="shared" si="4"/>
        <v>0.33333333333333326</v>
      </c>
      <c r="R20" s="12"/>
    </row>
    <row r="21" spans="1:18" x14ac:dyDescent="0.25">
      <c r="A21" s="11">
        <v>46113</v>
      </c>
      <c r="B21" s="25" t="s">
        <v>66</v>
      </c>
      <c r="C21" s="31" t="s">
        <v>67</v>
      </c>
      <c r="D21" t="s">
        <v>53</v>
      </c>
      <c r="E21" s="12" t="s">
        <v>84</v>
      </c>
      <c r="F21" s="13">
        <v>0.35416666666666669</v>
      </c>
      <c r="G21" s="13">
        <v>0.72916666666666663</v>
      </c>
      <c r="H21" s="13">
        <f>VLOOKUP(B21,[1]IN!$A$2:$L$29,10,0)</f>
        <v>0.34005787037037033</v>
      </c>
      <c r="I21" s="13">
        <f>VLOOKUP(B21,[1]OUT!$A$4:$B$32,2,0)</f>
        <v>0.73091435185185183</v>
      </c>
      <c r="J21" s="12"/>
      <c r="K21" s="12"/>
      <c r="L21" s="7">
        <f t="shared" si="0"/>
        <v>0.35416666666666669</v>
      </c>
      <c r="M21" s="8">
        <f t="shared" si="1"/>
        <v>0.72916666666666663</v>
      </c>
      <c r="N21" s="9">
        <v>1</v>
      </c>
      <c r="O21" s="10">
        <f t="shared" si="2"/>
        <v>0.33333333333333326</v>
      </c>
      <c r="P21" s="7">
        <f t="shared" si="3"/>
        <v>0</v>
      </c>
      <c r="Q21" s="7">
        <f t="shared" si="4"/>
        <v>0.33333333333333326</v>
      </c>
      <c r="R21" s="12"/>
    </row>
    <row r="22" spans="1:18" x14ac:dyDescent="0.25">
      <c r="A22" s="11">
        <v>46113</v>
      </c>
      <c r="B22" s="25" t="s">
        <v>68</v>
      </c>
      <c r="C22" s="31" t="s">
        <v>69</v>
      </c>
      <c r="D22" t="s">
        <v>53</v>
      </c>
      <c r="E22" s="12" t="s">
        <v>84</v>
      </c>
      <c r="F22" s="13">
        <v>0.35416666666666669</v>
      </c>
      <c r="G22" s="13">
        <v>0.72916666666666663</v>
      </c>
      <c r="H22" s="13">
        <f>VLOOKUP(B22,[1]IN!$A$2:$L$29,10,0)</f>
        <v>0.35839120370370375</v>
      </c>
      <c r="I22" s="13">
        <f>VLOOKUP(B22,[1]OUT!$A$4:$B$32,2,0)</f>
        <v>0.73008101851851848</v>
      </c>
      <c r="J22" s="12"/>
      <c r="K22" s="12"/>
      <c r="L22" s="7">
        <f t="shared" si="0"/>
        <v>0.35416666666666669</v>
      </c>
      <c r="M22" s="8">
        <f t="shared" si="1"/>
        <v>0.72916666666666663</v>
      </c>
      <c r="N22" s="9">
        <v>1</v>
      </c>
      <c r="O22" s="10">
        <f t="shared" si="2"/>
        <v>0.33333333333333326</v>
      </c>
      <c r="P22" s="7">
        <f t="shared" si="3"/>
        <v>0</v>
      </c>
      <c r="Q22" s="7">
        <f t="shared" si="4"/>
        <v>0.33333333333333326</v>
      </c>
      <c r="R22" s="12"/>
    </row>
    <row r="23" spans="1:18" x14ac:dyDescent="0.25">
      <c r="A23" s="11">
        <v>46113</v>
      </c>
      <c r="B23" s="25" t="s">
        <v>70</v>
      </c>
      <c r="C23" s="32" t="s">
        <v>71</v>
      </c>
      <c r="D23" t="s">
        <v>53</v>
      </c>
      <c r="E23" s="12" t="s">
        <v>83</v>
      </c>
      <c r="F23" s="13">
        <v>0.33333333333333331</v>
      </c>
      <c r="G23" s="13">
        <v>0.70833333333333337</v>
      </c>
      <c r="H23" s="13">
        <f>VLOOKUP(B23,[1]IN!$A$2:$L$29,10,0)</f>
        <v>0.31638888888888889</v>
      </c>
      <c r="I23" s="13">
        <f>VLOOKUP(B23,[1]OUT!$A$4:$B$32,2,0)</f>
        <v>0.70942129629629624</v>
      </c>
      <c r="J23" s="12"/>
      <c r="K23" s="12"/>
      <c r="L23" s="7">
        <f t="shared" si="0"/>
        <v>0.33333333333333331</v>
      </c>
      <c r="M23" s="8">
        <f t="shared" si="1"/>
        <v>0.70833333333333326</v>
      </c>
      <c r="N23" s="9">
        <v>1</v>
      </c>
      <c r="O23" s="10">
        <f t="shared" si="2"/>
        <v>0.33333333333333326</v>
      </c>
      <c r="P23" s="7">
        <f t="shared" si="3"/>
        <v>0</v>
      </c>
      <c r="Q23" s="7">
        <f t="shared" si="4"/>
        <v>0.33333333333333326</v>
      </c>
      <c r="R23" s="12"/>
    </row>
    <row r="24" spans="1:18" x14ac:dyDescent="0.25">
      <c r="A24" s="11">
        <v>46113</v>
      </c>
      <c r="B24" s="25" t="s">
        <v>72</v>
      </c>
      <c r="C24" s="32" t="s">
        <v>73</v>
      </c>
      <c r="D24" t="s">
        <v>53</v>
      </c>
      <c r="E24" s="12" t="s">
        <v>84</v>
      </c>
      <c r="F24" s="13">
        <v>0.35416666666666669</v>
      </c>
      <c r="G24" s="13">
        <v>0.72916666666666663</v>
      </c>
      <c r="H24" s="13">
        <f>VLOOKUP(B24,[1]IN!$A$2:$L$29,10,0)</f>
        <v>0.34652777777777777</v>
      </c>
      <c r="I24" s="13">
        <f>VLOOKUP(B24,[1]OUT!$A$4:$B$32,2,0)</f>
        <v>0.73093750000000002</v>
      </c>
      <c r="J24" s="12"/>
      <c r="K24" s="12"/>
      <c r="L24" s="7">
        <f t="shared" si="0"/>
        <v>0.35416666666666669</v>
      </c>
      <c r="M24" s="8">
        <f t="shared" si="1"/>
        <v>0.72916666666666663</v>
      </c>
      <c r="N24" s="9">
        <v>1</v>
      </c>
      <c r="O24" s="10">
        <f t="shared" si="2"/>
        <v>0.33333333333333326</v>
      </c>
      <c r="P24" s="7">
        <f t="shared" si="3"/>
        <v>0</v>
      </c>
      <c r="Q24" s="7">
        <f t="shared" si="4"/>
        <v>0.33333333333333326</v>
      </c>
      <c r="R24" s="12"/>
    </row>
    <row r="25" spans="1:18" x14ac:dyDescent="0.25">
      <c r="A25" s="11">
        <v>46113</v>
      </c>
      <c r="B25" s="25" t="s">
        <v>74</v>
      </c>
      <c r="C25" s="30" t="s">
        <v>75</v>
      </c>
      <c r="D25" t="s">
        <v>53</v>
      </c>
      <c r="E25" s="12" t="s">
        <v>82</v>
      </c>
      <c r="F25" s="13">
        <v>0.25</v>
      </c>
      <c r="G25" s="13">
        <v>0.58333333333333337</v>
      </c>
      <c r="H25" s="13">
        <f>VLOOKUP(B25,[1]IN!$A$2:$L$29,10,0)</f>
        <v>0.24488425925925927</v>
      </c>
      <c r="I25" s="13">
        <f>VLOOKUP(B25,[1]OUT!$A$4:$B$32,2,0)</f>
        <v>0.58663194444444444</v>
      </c>
      <c r="J25" s="12"/>
      <c r="K25" s="12"/>
      <c r="L25" s="7">
        <f t="shared" si="0"/>
        <v>0.25</v>
      </c>
      <c r="M25" s="8">
        <f t="shared" si="1"/>
        <v>0.58333333333333326</v>
      </c>
      <c r="N25" s="9">
        <v>0</v>
      </c>
      <c r="O25" s="10">
        <f t="shared" si="2"/>
        <v>0.33333333333333326</v>
      </c>
      <c r="P25" s="7">
        <f t="shared" si="3"/>
        <v>0</v>
      </c>
      <c r="Q25" s="7">
        <f t="shared" si="4"/>
        <v>0.33333333333333326</v>
      </c>
      <c r="R25" s="12"/>
    </row>
    <row r="26" spans="1:18" x14ac:dyDescent="0.25">
      <c r="A26" s="11">
        <v>46113</v>
      </c>
      <c r="B26" s="16" t="s">
        <v>22</v>
      </c>
      <c r="C26" s="17" t="s">
        <v>23</v>
      </c>
      <c r="D26" t="s">
        <v>19</v>
      </c>
      <c r="E26" s="12" t="s">
        <v>86</v>
      </c>
      <c r="F26" s="13">
        <v>0.79166666666666663</v>
      </c>
      <c r="G26" s="13">
        <v>0.125</v>
      </c>
      <c r="H26" s="13">
        <v>0.77471064814814816</v>
      </c>
      <c r="I26" s="13">
        <v>0.25208333333333333</v>
      </c>
      <c r="J26" s="12"/>
      <c r="K26" s="12"/>
      <c r="L26" s="7">
        <f t="shared" si="0"/>
        <v>0.79166666666666663</v>
      </c>
      <c r="M26" s="8">
        <f t="shared" si="1"/>
        <v>0.25</v>
      </c>
      <c r="N26" s="9">
        <v>0</v>
      </c>
      <c r="O26" s="10">
        <f t="shared" si="2"/>
        <v>0.33333333333333337</v>
      </c>
      <c r="P26" s="7">
        <f t="shared" si="3"/>
        <v>0.125</v>
      </c>
      <c r="Q26" s="7">
        <f t="shared" si="4"/>
        <v>0.45833333333333337</v>
      </c>
      <c r="R26" s="12"/>
    </row>
    <row r="27" spans="1:18" x14ac:dyDescent="0.25">
      <c r="A27" s="11">
        <v>46113</v>
      </c>
      <c r="B27" s="25" t="s">
        <v>78</v>
      </c>
      <c r="C27" s="30" t="s">
        <v>79</v>
      </c>
      <c r="D27" t="s">
        <v>53</v>
      </c>
      <c r="E27" s="12" t="s">
        <v>86</v>
      </c>
      <c r="F27" s="13">
        <v>0.91666666666666663</v>
      </c>
      <c r="G27" s="13">
        <v>0.25</v>
      </c>
      <c r="H27" s="13">
        <v>0.8963078703703703</v>
      </c>
      <c r="I27" s="13">
        <v>0.25006944444444446</v>
      </c>
      <c r="J27" s="12"/>
      <c r="K27" s="12"/>
      <c r="L27" s="7">
        <f t="shared" si="0"/>
        <v>0.91666666666666663</v>
      </c>
      <c r="M27" s="8">
        <f t="shared" si="1"/>
        <v>0.25</v>
      </c>
      <c r="N27" s="9">
        <v>0</v>
      </c>
      <c r="O27" s="10">
        <f t="shared" si="2"/>
        <v>0.33333333333333337</v>
      </c>
      <c r="P27" s="7">
        <f t="shared" si="3"/>
        <v>0</v>
      </c>
      <c r="Q27" s="7">
        <f t="shared" si="4"/>
        <v>0.33333333333333337</v>
      </c>
      <c r="R27" s="12"/>
    </row>
    <row r="28" spans="1:18" x14ac:dyDescent="0.25">
      <c r="A28" s="11">
        <v>46113</v>
      </c>
      <c r="B28" s="25" t="s">
        <v>80</v>
      </c>
      <c r="C28" s="27" t="s">
        <v>81</v>
      </c>
      <c r="D28" t="s">
        <v>53</v>
      </c>
      <c r="E28" s="12" t="s">
        <v>86</v>
      </c>
      <c r="F28" s="13">
        <v>0.91666666666666663</v>
      </c>
      <c r="G28" s="13">
        <v>0.25</v>
      </c>
      <c r="H28" s="13">
        <v>0.90664351851851854</v>
      </c>
      <c r="I28" s="13">
        <v>0.25167824074074074</v>
      </c>
      <c r="J28" s="12"/>
      <c r="K28" s="12"/>
      <c r="L28" s="7">
        <f t="shared" si="0"/>
        <v>0.91666666666666663</v>
      </c>
      <c r="M28" s="8">
        <f t="shared" si="1"/>
        <v>0.25</v>
      </c>
      <c r="N28" s="9">
        <v>0</v>
      </c>
      <c r="O28" s="10">
        <f t="shared" si="2"/>
        <v>0.33333333333333337</v>
      </c>
      <c r="P28" s="7">
        <f t="shared" si="3"/>
        <v>0</v>
      </c>
      <c r="Q28" s="7">
        <f t="shared" si="4"/>
        <v>0.33333333333333337</v>
      </c>
      <c r="R28" s="12"/>
    </row>
    <row r="29" spans="1:18" x14ac:dyDescent="0.25">
      <c r="A29" s="11">
        <v>46114</v>
      </c>
      <c r="B29" s="14" t="s">
        <v>17</v>
      </c>
      <c r="C29" s="15" t="s">
        <v>18</v>
      </c>
      <c r="D29" t="s">
        <v>19</v>
      </c>
      <c r="E29" s="12" t="s">
        <v>84</v>
      </c>
      <c r="F29" s="13">
        <v>0.35416666666666669</v>
      </c>
      <c r="G29" s="13">
        <v>0.72916666666666663</v>
      </c>
      <c r="H29" s="13">
        <f>VLOOKUP(B29,[2]IN!$A$2:$L$29,10,0)</f>
        <v>0.33658564814814818</v>
      </c>
      <c r="I29" s="13">
        <f>VLOOKUP(B29,[2]OUT!$A$4:$B$31,2,0)</f>
        <v>0.73101851851851851</v>
      </c>
      <c r="J29" s="12"/>
      <c r="K29" s="12"/>
      <c r="L29" s="7">
        <f t="shared" ref="L29:L92" si="5">IF(OR(H29="",F29=""),0,IF(H29&lt;=(F29+TIME(0,15,0)),F29,CEILING(H29,TIME(0,30,0))))</f>
        <v>0.35416666666666669</v>
      </c>
      <c r="M29" s="8">
        <f t="shared" ref="M29:M92" si="6">IF(OR(I29="",G29=""),0,(FLOOR(I29,TIME(0,30,0))))</f>
        <v>0.72916666666666663</v>
      </c>
      <c r="N29" s="9">
        <v>1</v>
      </c>
      <c r="O29" s="10">
        <f t="shared" ref="O29:O92" si="7">IF((N29=1),(MOD(MIN(M29,G29)-L29,1)-TIME(1,0,0)),(MOD(MIN(M29,G29)-L29,1)))</f>
        <v>0.33333333333333326</v>
      </c>
      <c r="P29" s="7">
        <f t="shared" si="3"/>
        <v>0</v>
      </c>
      <c r="Q29" s="7">
        <f t="shared" si="4"/>
        <v>0.33333333333333326</v>
      </c>
      <c r="R29" s="12"/>
    </row>
    <row r="30" spans="1:18" x14ac:dyDescent="0.25">
      <c r="A30" s="11">
        <v>46114</v>
      </c>
      <c r="B30" s="18" t="s">
        <v>24</v>
      </c>
      <c r="C30" s="19" t="s">
        <v>25</v>
      </c>
      <c r="D30" t="s">
        <v>19</v>
      </c>
      <c r="E30" s="12" t="s">
        <v>82</v>
      </c>
      <c r="F30" s="13">
        <v>0.25</v>
      </c>
      <c r="G30" s="13">
        <v>0.58333333333333337</v>
      </c>
      <c r="H30" s="13">
        <f>VLOOKUP(B30,[2]IN!$A$2:$L$29,10,0)</f>
        <v>0.24302083333333332</v>
      </c>
      <c r="I30" s="13">
        <f>VLOOKUP(B30,[2]OUT!$A$4:$B$31,2,0)</f>
        <v>0.70956018518518515</v>
      </c>
      <c r="J30" s="12"/>
      <c r="K30" s="12"/>
      <c r="L30" s="7">
        <f t="shared" si="5"/>
        <v>0.25</v>
      </c>
      <c r="M30" s="8">
        <f t="shared" si="6"/>
        <v>0.70833333333333326</v>
      </c>
      <c r="N30" s="9">
        <v>0</v>
      </c>
      <c r="O30" s="10">
        <f t="shared" si="7"/>
        <v>0.33333333333333337</v>
      </c>
      <c r="P30" s="7">
        <f t="shared" si="3"/>
        <v>0.12499999999999989</v>
      </c>
      <c r="Q30" s="7">
        <f t="shared" si="4"/>
        <v>0.45833333333333326</v>
      </c>
      <c r="R30" s="12"/>
    </row>
    <row r="31" spans="1:18" x14ac:dyDescent="0.25">
      <c r="A31" s="11">
        <v>46114</v>
      </c>
      <c r="B31" s="16" t="s">
        <v>26</v>
      </c>
      <c r="C31" s="17" t="s">
        <v>27</v>
      </c>
      <c r="D31" t="s">
        <v>19</v>
      </c>
      <c r="E31" s="12" t="s">
        <v>84</v>
      </c>
      <c r="F31" s="13">
        <v>0.35416666666666669</v>
      </c>
      <c r="G31" s="13">
        <v>0.72916666666666663</v>
      </c>
      <c r="H31" s="13">
        <f>VLOOKUP(B31,[2]IN!$A$2:$L$29,10,0)</f>
        <v>0.33946759259259257</v>
      </c>
      <c r="I31" s="13">
        <f>VLOOKUP(B31,[2]OUT!$A$4:$B$31,2,0)</f>
        <v>0.79502314814814812</v>
      </c>
      <c r="J31" s="12"/>
      <c r="K31" s="12"/>
      <c r="L31" s="7">
        <f t="shared" si="5"/>
        <v>0.35416666666666669</v>
      </c>
      <c r="M31" s="8">
        <f t="shared" si="6"/>
        <v>0.79166666666666663</v>
      </c>
      <c r="N31" s="9">
        <v>1</v>
      </c>
      <c r="O31" s="10">
        <f t="shared" si="7"/>
        <v>0.33333333333333326</v>
      </c>
      <c r="P31" s="7">
        <f t="shared" si="3"/>
        <v>6.25E-2</v>
      </c>
      <c r="Q31" s="7">
        <f t="shared" si="4"/>
        <v>0.39583333333333326</v>
      </c>
      <c r="R31" s="12"/>
    </row>
    <row r="32" spans="1:18" x14ac:dyDescent="0.25">
      <c r="A32" s="11">
        <v>46114</v>
      </c>
      <c r="B32" s="16" t="s">
        <v>32</v>
      </c>
      <c r="C32" s="20" t="s">
        <v>33</v>
      </c>
      <c r="D32" t="s">
        <v>19</v>
      </c>
      <c r="E32" s="12" t="s">
        <v>84</v>
      </c>
      <c r="F32" s="13">
        <v>0.35416666666666669</v>
      </c>
      <c r="G32" s="13">
        <v>0.72916666666666663</v>
      </c>
      <c r="H32" s="13">
        <f>VLOOKUP(B32,[2]IN!$A$2:$L$29,10,0)</f>
        <v>0.35638888888888887</v>
      </c>
      <c r="I32" s="13">
        <f>VLOOKUP(B32,[2]OUT!$A$4:$B$31,2,0)</f>
        <v>0.72923611111111108</v>
      </c>
      <c r="J32" s="12"/>
      <c r="K32" s="12"/>
      <c r="L32" s="7">
        <f t="shared" si="5"/>
        <v>0.35416666666666669</v>
      </c>
      <c r="M32" s="8">
        <f t="shared" si="6"/>
        <v>0.72916666666666663</v>
      </c>
      <c r="N32" s="9">
        <v>1</v>
      </c>
      <c r="O32" s="10">
        <f t="shared" si="7"/>
        <v>0.33333333333333326</v>
      </c>
      <c r="P32" s="7">
        <f t="shared" si="3"/>
        <v>0</v>
      </c>
      <c r="Q32" s="7">
        <f t="shared" si="4"/>
        <v>0.33333333333333326</v>
      </c>
      <c r="R32" s="12"/>
    </row>
    <row r="33" spans="1:18" x14ac:dyDescent="0.25">
      <c r="A33" s="11">
        <v>46114</v>
      </c>
      <c r="B33" s="16" t="s">
        <v>34</v>
      </c>
      <c r="C33" s="17" t="s">
        <v>35</v>
      </c>
      <c r="D33" t="s">
        <v>19</v>
      </c>
      <c r="E33" s="12" t="s">
        <v>84</v>
      </c>
      <c r="F33" s="13">
        <v>0.35416666666666669</v>
      </c>
      <c r="G33" s="13">
        <v>0.72916666666666663</v>
      </c>
      <c r="H33" s="13">
        <f>VLOOKUP(B33,[2]IN!$A$2:$L$29,10,0)</f>
        <v>0.32925925925925925</v>
      </c>
      <c r="I33" s="13">
        <f>VLOOKUP(B33,[2]OUT!$A$4:$B$31,2,0)</f>
        <v>0.72980324074074077</v>
      </c>
      <c r="J33" s="12"/>
      <c r="K33" s="12"/>
      <c r="L33" s="7">
        <f t="shared" si="5"/>
        <v>0.35416666666666669</v>
      </c>
      <c r="M33" s="8">
        <f t="shared" si="6"/>
        <v>0.72916666666666663</v>
      </c>
      <c r="N33" s="9">
        <v>1</v>
      </c>
      <c r="O33" s="10">
        <f t="shared" si="7"/>
        <v>0.33333333333333326</v>
      </c>
      <c r="P33" s="7">
        <f t="shared" si="3"/>
        <v>0</v>
      </c>
      <c r="Q33" s="7">
        <f t="shared" si="4"/>
        <v>0.33333333333333326</v>
      </c>
      <c r="R33" s="12"/>
    </row>
    <row r="34" spans="1:18" x14ac:dyDescent="0.25">
      <c r="A34" s="11">
        <v>46114</v>
      </c>
      <c r="B34" s="16" t="s">
        <v>36</v>
      </c>
      <c r="C34" s="21" t="s">
        <v>37</v>
      </c>
      <c r="D34" t="s">
        <v>19</v>
      </c>
      <c r="E34" s="12" t="s">
        <v>84</v>
      </c>
      <c r="F34" s="13">
        <v>0.35416666666666669</v>
      </c>
      <c r="G34" s="13">
        <v>0.72916666666666663</v>
      </c>
      <c r="H34" s="13">
        <f>VLOOKUP(B34,[2]IN!$A$2:$L$29,10,0)</f>
        <v>0.35107638888888887</v>
      </c>
      <c r="I34" s="13">
        <f>VLOOKUP(B34,[2]OUT!$A$4:$B$31,2,0)</f>
        <v>0.72922453703703705</v>
      </c>
      <c r="J34" s="12"/>
      <c r="K34" s="12"/>
      <c r="L34" s="7">
        <f t="shared" si="5"/>
        <v>0.35416666666666669</v>
      </c>
      <c r="M34" s="8">
        <f t="shared" si="6"/>
        <v>0.72916666666666663</v>
      </c>
      <c r="N34" s="9">
        <v>1</v>
      </c>
      <c r="O34" s="10">
        <f t="shared" si="7"/>
        <v>0.33333333333333326</v>
      </c>
      <c r="P34" s="7">
        <f t="shared" si="3"/>
        <v>0</v>
      </c>
      <c r="Q34" s="7">
        <f t="shared" si="4"/>
        <v>0.33333333333333326</v>
      </c>
      <c r="R34" s="12"/>
    </row>
    <row r="35" spans="1:18" x14ac:dyDescent="0.25">
      <c r="A35" s="11">
        <v>46114</v>
      </c>
      <c r="B35" s="16" t="s">
        <v>38</v>
      </c>
      <c r="C35" s="21" t="s">
        <v>39</v>
      </c>
      <c r="D35" t="s">
        <v>19</v>
      </c>
      <c r="E35" s="12" t="s">
        <v>84</v>
      </c>
      <c r="F35" s="13">
        <v>0.35416666666666669</v>
      </c>
      <c r="G35" s="13">
        <v>0.72916666666666663</v>
      </c>
      <c r="H35" s="13">
        <f>VLOOKUP(B35,[2]IN!$A$2:$L$29,10,0)</f>
        <v>0.3364583333333333</v>
      </c>
      <c r="I35" s="13">
        <f>VLOOKUP(B35,[2]OUT!$A$4:$B$31,2,0)</f>
        <v>0.73091435185185183</v>
      </c>
      <c r="J35" s="12"/>
      <c r="K35" s="12"/>
      <c r="L35" s="7">
        <f t="shared" si="5"/>
        <v>0.35416666666666669</v>
      </c>
      <c r="M35" s="8">
        <f t="shared" si="6"/>
        <v>0.72916666666666663</v>
      </c>
      <c r="N35" s="9">
        <v>1</v>
      </c>
      <c r="O35" s="10">
        <f t="shared" si="7"/>
        <v>0.33333333333333326</v>
      </c>
      <c r="P35" s="7">
        <f t="shared" si="3"/>
        <v>0</v>
      </c>
      <c r="Q35" s="7">
        <f t="shared" si="4"/>
        <v>0.33333333333333326</v>
      </c>
      <c r="R35" s="12"/>
    </row>
    <row r="36" spans="1:18" x14ac:dyDescent="0.25">
      <c r="A36" s="11">
        <v>46114</v>
      </c>
      <c r="B36" s="16" t="s">
        <v>40</v>
      </c>
      <c r="C36" s="22" t="s">
        <v>41</v>
      </c>
      <c r="D36" t="s">
        <v>42</v>
      </c>
      <c r="E36" s="12" t="s">
        <v>84</v>
      </c>
      <c r="F36" s="13">
        <v>0.35416666666666669</v>
      </c>
      <c r="G36" s="13">
        <v>0.72916666666666663</v>
      </c>
      <c r="H36" s="13">
        <f>VLOOKUP(B36,[2]IN!$A$2:$L$29,10,0)</f>
        <v>0.34069444444444441</v>
      </c>
      <c r="I36" s="13">
        <f>VLOOKUP(B36,[2]OUT!$A$4:$B$31,2,0)</f>
        <v>0.73006944444444455</v>
      </c>
      <c r="J36" s="12"/>
      <c r="K36" s="12"/>
      <c r="L36" s="7">
        <f t="shared" si="5"/>
        <v>0.35416666666666669</v>
      </c>
      <c r="M36" s="8">
        <f t="shared" si="6"/>
        <v>0.72916666666666663</v>
      </c>
      <c r="N36" s="9">
        <v>1</v>
      </c>
      <c r="O36" s="10">
        <f t="shared" si="7"/>
        <v>0.33333333333333326</v>
      </c>
      <c r="P36" s="7">
        <f t="shared" si="3"/>
        <v>0</v>
      </c>
      <c r="Q36" s="7">
        <f t="shared" si="4"/>
        <v>0.33333333333333326</v>
      </c>
      <c r="R36" s="12"/>
    </row>
    <row r="37" spans="1:18" x14ac:dyDescent="0.25">
      <c r="A37" s="11">
        <v>46114</v>
      </c>
      <c r="B37" s="16" t="s">
        <v>43</v>
      </c>
      <c r="C37" s="23" t="s">
        <v>44</v>
      </c>
      <c r="D37" t="s">
        <v>42</v>
      </c>
      <c r="E37" s="12" t="s">
        <v>84</v>
      </c>
      <c r="F37" s="13">
        <v>0.35416666666666669</v>
      </c>
      <c r="G37" s="13">
        <v>0.72916666666666663</v>
      </c>
      <c r="H37" s="13">
        <f>VLOOKUP(B37,[2]IN!$A$2:$L$29,10,0)</f>
        <v>0.3482986111111111</v>
      </c>
      <c r="I37" s="13">
        <f>VLOOKUP(B37,[2]OUT!$A$4:$B$31,2,0)</f>
        <v>0.72950231481481476</v>
      </c>
      <c r="J37" s="12"/>
      <c r="K37" s="12"/>
      <c r="L37" s="7">
        <f t="shared" si="5"/>
        <v>0.35416666666666669</v>
      </c>
      <c r="M37" s="8">
        <f t="shared" si="6"/>
        <v>0.72916666666666663</v>
      </c>
      <c r="N37" s="9">
        <v>1</v>
      </c>
      <c r="O37" s="10">
        <f t="shared" si="7"/>
        <v>0.33333333333333326</v>
      </c>
      <c r="P37" s="7">
        <f t="shared" si="3"/>
        <v>0</v>
      </c>
      <c r="Q37" s="7">
        <f t="shared" si="4"/>
        <v>0.33333333333333326</v>
      </c>
      <c r="R37" s="12"/>
    </row>
    <row r="38" spans="1:18" x14ac:dyDescent="0.25">
      <c r="A38" s="11">
        <v>46114</v>
      </c>
      <c r="B38" s="16" t="s">
        <v>45</v>
      </c>
      <c r="C38" s="23" t="s">
        <v>46</v>
      </c>
      <c r="D38" t="s">
        <v>42</v>
      </c>
      <c r="E38" s="12" t="s">
        <v>85</v>
      </c>
      <c r="F38" s="13">
        <v>0.58333333333333337</v>
      </c>
      <c r="G38" s="13">
        <v>0.91666666666666663</v>
      </c>
      <c r="H38" s="13">
        <f>VLOOKUP(B38,[2]IN!$A$2:$L$29,10,0)</f>
        <v>0.57545138888888892</v>
      </c>
      <c r="I38" s="13">
        <f>VLOOKUP(B38,[2]OUT!$A$4:$B$31,2,0)</f>
        <v>0.91733796296296299</v>
      </c>
      <c r="J38" s="12"/>
      <c r="K38" s="12"/>
      <c r="L38" s="7">
        <f t="shared" si="5"/>
        <v>0.58333333333333337</v>
      </c>
      <c r="M38" s="8">
        <f t="shared" si="6"/>
        <v>0.91666666666666663</v>
      </c>
      <c r="N38" s="9">
        <v>0</v>
      </c>
      <c r="O38" s="10">
        <f t="shared" si="7"/>
        <v>0.33333333333333326</v>
      </c>
      <c r="P38" s="7">
        <f t="shared" si="3"/>
        <v>0</v>
      </c>
      <c r="Q38" s="7">
        <f t="shared" si="4"/>
        <v>0.33333333333333326</v>
      </c>
      <c r="R38" s="12"/>
    </row>
    <row r="39" spans="1:18" x14ac:dyDescent="0.25">
      <c r="A39" s="11">
        <v>46114</v>
      </c>
      <c r="B39" s="16" t="s">
        <v>47</v>
      </c>
      <c r="C39" s="23" t="s">
        <v>48</v>
      </c>
      <c r="D39" t="s">
        <v>42</v>
      </c>
      <c r="E39" s="12" t="s">
        <v>84</v>
      </c>
      <c r="F39" s="13">
        <v>0.35416666666666669</v>
      </c>
      <c r="G39" s="13">
        <v>0.72916666666666663</v>
      </c>
      <c r="H39" s="13">
        <f>VLOOKUP(B39,[2]IN!$A$2:$L$29,10,0)</f>
        <v>0.34843750000000001</v>
      </c>
      <c r="I39" s="13">
        <f>VLOOKUP(B39,[2]OUT!$A$4:$B$31,2,0)</f>
        <v>0.72971064814814823</v>
      </c>
      <c r="J39" s="12"/>
      <c r="K39" s="12"/>
      <c r="L39" s="7">
        <f t="shared" si="5"/>
        <v>0.35416666666666669</v>
      </c>
      <c r="M39" s="8">
        <f t="shared" si="6"/>
        <v>0.72916666666666663</v>
      </c>
      <c r="N39" s="9">
        <v>1</v>
      </c>
      <c r="O39" s="10">
        <f t="shared" si="7"/>
        <v>0.33333333333333326</v>
      </c>
      <c r="P39" s="7">
        <f t="shared" si="3"/>
        <v>0</v>
      </c>
      <c r="Q39" s="7">
        <f t="shared" si="4"/>
        <v>0.33333333333333326</v>
      </c>
      <c r="R39" s="12"/>
    </row>
    <row r="40" spans="1:18" x14ac:dyDescent="0.25">
      <c r="A40" s="11">
        <v>46114</v>
      </c>
      <c r="B40" s="16" t="s">
        <v>49</v>
      </c>
      <c r="C40" s="24" t="s">
        <v>50</v>
      </c>
      <c r="D40" t="s">
        <v>42</v>
      </c>
      <c r="E40" s="12" t="s">
        <v>84</v>
      </c>
      <c r="F40" s="13">
        <v>0.35416666666666669</v>
      </c>
      <c r="G40" s="13">
        <v>0.72916666666666663</v>
      </c>
      <c r="H40" s="13">
        <f>VLOOKUP(B40,[2]IN!$A$2:$L$29,10,0)</f>
        <v>0.3600694444444445</v>
      </c>
      <c r="I40" s="13">
        <f>VLOOKUP(B40,[2]OUT!$A$4:$B$31,2,0)</f>
        <v>0.7298958333333333</v>
      </c>
      <c r="J40" s="12"/>
      <c r="K40" s="12"/>
      <c r="L40" s="7">
        <f t="shared" si="5"/>
        <v>0.35416666666666669</v>
      </c>
      <c r="M40" s="8">
        <f t="shared" si="6"/>
        <v>0.72916666666666663</v>
      </c>
      <c r="N40" s="9">
        <v>1</v>
      </c>
      <c r="O40" s="10">
        <f t="shared" si="7"/>
        <v>0.33333333333333326</v>
      </c>
      <c r="P40" s="7">
        <f t="shared" si="3"/>
        <v>0</v>
      </c>
      <c r="Q40" s="7">
        <f t="shared" si="4"/>
        <v>0.33333333333333326</v>
      </c>
      <c r="R40" s="12"/>
    </row>
    <row r="41" spans="1:18" x14ac:dyDescent="0.25">
      <c r="A41" s="11">
        <v>46114</v>
      </c>
      <c r="B41" s="25" t="s">
        <v>51</v>
      </c>
      <c r="C41" s="26" t="s">
        <v>52</v>
      </c>
      <c r="D41" t="s">
        <v>53</v>
      </c>
      <c r="E41" s="12" t="s">
        <v>84</v>
      </c>
      <c r="F41" s="13">
        <v>0.35416666666666669</v>
      </c>
      <c r="G41" s="13">
        <v>0.72916666666666663</v>
      </c>
      <c r="H41" s="13">
        <f>VLOOKUP(B41,[2]IN!$A$2:$L$29,10,0)</f>
        <v>0.34675925925925927</v>
      </c>
      <c r="I41" s="13">
        <f>VLOOKUP(B41,[2]OUT!$A$4:$B$31,2,0)</f>
        <v>0.72987268518518522</v>
      </c>
      <c r="J41" s="12"/>
      <c r="K41" s="12"/>
      <c r="L41" s="7">
        <f t="shared" si="5"/>
        <v>0.35416666666666669</v>
      </c>
      <c r="M41" s="8">
        <f t="shared" si="6"/>
        <v>0.72916666666666663</v>
      </c>
      <c r="N41" s="9">
        <v>1</v>
      </c>
      <c r="O41" s="10">
        <f t="shared" si="7"/>
        <v>0.33333333333333326</v>
      </c>
      <c r="P41" s="7">
        <f t="shared" si="3"/>
        <v>0</v>
      </c>
      <c r="Q41" s="7">
        <f t="shared" si="4"/>
        <v>0.33333333333333326</v>
      </c>
      <c r="R41" s="12"/>
    </row>
    <row r="42" spans="1:18" x14ac:dyDescent="0.25">
      <c r="A42" s="11">
        <v>46114</v>
      </c>
      <c r="B42" s="25" t="s">
        <v>54</v>
      </c>
      <c r="C42" s="26" t="s">
        <v>55</v>
      </c>
      <c r="D42" t="s">
        <v>53</v>
      </c>
      <c r="E42" s="12" t="s">
        <v>83</v>
      </c>
      <c r="F42" s="13">
        <v>0.33333333333333331</v>
      </c>
      <c r="G42" s="13">
        <v>0.70833333333333337</v>
      </c>
      <c r="H42" s="13">
        <f>VLOOKUP(B42,[2]IN!$A$2:$L$29,10,0)</f>
        <v>0.34921296296296295</v>
      </c>
      <c r="I42" s="13">
        <f>VLOOKUP(B42,[2]OUT!$A$4:$B$31,2,0)</f>
        <v>0.71120370370370367</v>
      </c>
      <c r="J42" s="12"/>
      <c r="K42" s="12"/>
      <c r="L42" s="7">
        <f t="shared" si="5"/>
        <v>0.35416666666666663</v>
      </c>
      <c r="M42" s="8">
        <f t="shared" si="6"/>
        <v>0.70833333333333326</v>
      </c>
      <c r="N42" s="9">
        <v>1</v>
      </c>
      <c r="O42" s="10">
        <f t="shared" si="7"/>
        <v>0.31249999999999994</v>
      </c>
      <c r="P42" s="7">
        <f t="shared" si="3"/>
        <v>0</v>
      </c>
      <c r="Q42" s="7">
        <f t="shared" si="4"/>
        <v>0.31249999999999994</v>
      </c>
      <c r="R42" s="12"/>
    </row>
    <row r="43" spans="1:18" x14ac:dyDescent="0.25">
      <c r="A43" s="11">
        <v>46114</v>
      </c>
      <c r="B43" s="25" t="s">
        <v>56</v>
      </c>
      <c r="C43" s="27" t="s">
        <v>57</v>
      </c>
      <c r="D43" t="s">
        <v>53</v>
      </c>
      <c r="E43" s="12" t="s">
        <v>84</v>
      </c>
      <c r="F43" s="13">
        <v>0.35416666666666669</v>
      </c>
      <c r="G43" s="13">
        <v>0.72916666666666663</v>
      </c>
      <c r="H43" s="13">
        <f>VLOOKUP(B43,[2]IN!$A$2:$L$29,10,0)</f>
        <v>0.35614583333333333</v>
      </c>
      <c r="I43" s="13">
        <f>VLOOKUP(B43,[2]OUT!$A$4:$B$31,2,0)</f>
        <v>0.73089120370370375</v>
      </c>
      <c r="J43" s="12"/>
      <c r="K43" s="12"/>
      <c r="L43" s="7">
        <f t="shared" si="5"/>
        <v>0.35416666666666669</v>
      </c>
      <c r="M43" s="8">
        <f t="shared" si="6"/>
        <v>0.72916666666666663</v>
      </c>
      <c r="N43" s="9">
        <v>1</v>
      </c>
      <c r="O43" s="10">
        <f t="shared" si="7"/>
        <v>0.33333333333333326</v>
      </c>
      <c r="P43" s="7">
        <f t="shared" si="3"/>
        <v>0</v>
      </c>
      <c r="Q43" s="7">
        <f t="shared" si="4"/>
        <v>0.33333333333333326</v>
      </c>
      <c r="R43" s="12"/>
    </row>
    <row r="44" spans="1:18" x14ac:dyDescent="0.25">
      <c r="A44" s="11">
        <v>46114</v>
      </c>
      <c r="B44" s="25" t="s">
        <v>60</v>
      </c>
      <c r="C44" s="29" t="s">
        <v>61</v>
      </c>
      <c r="D44" t="s">
        <v>53</v>
      </c>
      <c r="E44" s="12" t="s">
        <v>85</v>
      </c>
      <c r="F44" s="13">
        <v>0.58333333333333337</v>
      </c>
      <c r="G44" s="13">
        <v>0.91666666666666663</v>
      </c>
      <c r="H44" s="13">
        <f>VLOOKUP(B44,[2]IN!$A$2:$L$29,10,0)</f>
        <v>0.57630787037037035</v>
      </c>
      <c r="I44" s="13">
        <f>VLOOKUP(B44,[2]OUT!$A$4:$B$31,2,0)</f>
        <v>0.91702546296296295</v>
      </c>
      <c r="J44" s="12"/>
      <c r="K44" s="12"/>
      <c r="L44" s="7">
        <f t="shared" si="5"/>
        <v>0.58333333333333337</v>
      </c>
      <c r="M44" s="8">
        <f t="shared" si="6"/>
        <v>0.91666666666666663</v>
      </c>
      <c r="N44" s="9">
        <v>0</v>
      </c>
      <c r="O44" s="10">
        <f t="shared" si="7"/>
        <v>0.33333333333333326</v>
      </c>
      <c r="P44" s="7">
        <f t="shared" si="3"/>
        <v>0</v>
      </c>
      <c r="Q44" s="7">
        <f t="shared" si="4"/>
        <v>0.33333333333333326</v>
      </c>
      <c r="R44" s="12"/>
    </row>
    <row r="45" spans="1:18" x14ac:dyDescent="0.25">
      <c r="A45" s="11">
        <v>46114</v>
      </c>
      <c r="B45" s="25" t="s">
        <v>62</v>
      </c>
      <c r="C45" s="30" t="s">
        <v>63</v>
      </c>
      <c r="D45" t="s">
        <v>53</v>
      </c>
      <c r="E45" s="12" t="s">
        <v>84</v>
      </c>
      <c r="F45" s="13">
        <v>0.35416666666666669</v>
      </c>
      <c r="G45" s="13">
        <v>0.72916666666666663</v>
      </c>
      <c r="H45" s="13">
        <f>VLOOKUP(B45,[2]IN!$A$2:$L$29,10,0)</f>
        <v>0.34962962962962968</v>
      </c>
      <c r="I45" s="13">
        <f>VLOOKUP(B45,[2]OUT!$A$4:$B$31,2,0)</f>
        <v>0.72952546296296295</v>
      </c>
      <c r="J45" s="12"/>
      <c r="K45" s="12"/>
      <c r="L45" s="7">
        <f t="shared" si="5"/>
        <v>0.35416666666666669</v>
      </c>
      <c r="M45" s="8">
        <f t="shared" si="6"/>
        <v>0.72916666666666663</v>
      </c>
      <c r="N45" s="9">
        <v>1</v>
      </c>
      <c r="O45" s="10">
        <f t="shared" si="7"/>
        <v>0.33333333333333326</v>
      </c>
      <c r="P45" s="7">
        <f t="shared" si="3"/>
        <v>0</v>
      </c>
      <c r="Q45" s="7">
        <f t="shared" si="4"/>
        <v>0.33333333333333326</v>
      </c>
      <c r="R45" s="12"/>
    </row>
    <row r="46" spans="1:18" x14ac:dyDescent="0.25">
      <c r="A46" s="11">
        <v>46114</v>
      </c>
      <c r="B46" s="25" t="s">
        <v>64</v>
      </c>
      <c r="C46" s="30" t="s">
        <v>65</v>
      </c>
      <c r="D46" t="s">
        <v>53</v>
      </c>
      <c r="E46" s="12" t="s">
        <v>83</v>
      </c>
      <c r="F46" s="13">
        <v>0.33333333333333331</v>
      </c>
      <c r="G46" s="13">
        <v>0.70833333333333337</v>
      </c>
      <c r="H46" s="13">
        <f>VLOOKUP(B46,[2]IN!$A$2:$L$29,10,0)</f>
        <v>0.33259259259259261</v>
      </c>
      <c r="I46" s="13">
        <f>VLOOKUP(B46,[2]OUT!$A$4:$B$31,2,0)</f>
        <v>0.71313657407407405</v>
      </c>
      <c r="J46" s="12"/>
      <c r="K46" s="12"/>
      <c r="L46" s="7">
        <f t="shared" si="5"/>
        <v>0.33333333333333331</v>
      </c>
      <c r="M46" s="8">
        <f t="shared" si="6"/>
        <v>0.70833333333333326</v>
      </c>
      <c r="N46" s="9">
        <v>1</v>
      </c>
      <c r="O46" s="10">
        <f t="shared" si="7"/>
        <v>0.33333333333333326</v>
      </c>
      <c r="P46" s="7">
        <f t="shared" si="3"/>
        <v>0</v>
      </c>
      <c r="Q46" s="7">
        <f t="shared" si="4"/>
        <v>0.33333333333333326</v>
      </c>
      <c r="R46" s="12"/>
    </row>
    <row r="47" spans="1:18" x14ac:dyDescent="0.25">
      <c r="A47" s="11">
        <v>46114</v>
      </c>
      <c r="B47" s="25" t="s">
        <v>66</v>
      </c>
      <c r="C47" s="31" t="s">
        <v>67</v>
      </c>
      <c r="D47" t="s">
        <v>53</v>
      </c>
      <c r="E47" s="12" t="s">
        <v>84</v>
      </c>
      <c r="F47" s="13">
        <v>0.35416666666666669</v>
      </c>
      <c r="G47" s="13">
        <v>0.72916666666666663</v>
      </c>
      <c r="H47" s="13">
        <f>VLOOKUP(B47,[2]IN!$A$2:$L$29,10,0)</f>
        <v>0.34797453703703707</v>
      </c>
      <c r="I47" s="13">
        <f>VLOOKUP(B47,[2]OUT!$A$4:$B$31,2,0)</f>
        <v>0.72938657407407403</v>
      </c>
      <c r="J47" s="12"/>
      <c r="K47" s="12"/>
      <c r="L47" s="7">
        <f t="shared" si="5"/>
        <v>0.35416666666666669</v>
      </c>
      <c r="M47" s="8">
        <f t="shared" si="6"/>
        <v>0.72916666666666663</v>
      </c>
      <c r="N47" s="9">
        <v>1</v>
      </c>
      <c r="O47" s="10">
        <f t="shared" si="7"/>
        <v>0.33333333333333326</v>
      </c>
      <c r="P47" s="7">
        <f t="shared" si="3"/>
        <v>0</v>
      </c>
      <c r="Q47" s="7">
        <f t="shared" si="4"/>
        <v>0.33333333333333326</v>
      </c>
      <c r="R47" s="12"/>
    </row>
    <row r="48" spans="1:18" x14ac:dyDescent="0.25">
      <c r="A48" s="11">
        <v>46114</v>
      </c>
      <c r="B48" s="25" t="s">
        <v>68</v>
      </c>
      <c r="C48" s="31" t="s">
        <v>69</v>
      </c>
      <c r="D48" t="s">
        <v>53</v>
      </c>
      <c r="E48" s="12" t="s">
        <v>84</v>
      </c>
      <c r="F48" s="13">
        <v>0.35416666666666669</v>
      </c>
      <c r="G48" s="13">
        <v>0.72916666666666663</v>
      </c>
      <c r="H48" s="13">
        <f>VLOOKUP(B48,[2]IN!$A$2:$L$29,10,0)</f>
        <v>0.35295138888888888</v>
      </c>
      <c r="I48" s="13">
        <f>VLOOKUP(B48,[2]OUT!$A$4:$B$31,2,0)</f>
        <v>0.72995370370370372</v>
      </c>
      <c r="J48" s="12"/>
      <c r="K48" s="12"/>
      <c r="L48" s="7">
        <f t="shared" si="5"/>
        <v>0.35416666666666669</v>
      </c>
      <c r="M48" s="8">
        <f t="shared" si="6"/>
        <v>0.72916666666666663</v>
      </c>
      <c r="N48" s="9">
        <v>1</v>
      </c>
      <c r="O48" s="10">
        <f t="shared" si="7"/>
        <v>0.33333333333333326</v>
      </c>
      <c r="P48" s="7">
        <f t="shared" si="3"/>
        <v>0</v>
      </c>
      <c r="Q48" s="7">
        <f t="shared" si="4"/>
        <v>0.33333333333333326</v>
      </c>
      <c r="R48" s="12"/>
    </row>
    <row r="49" spans="1:18" x14ac:dyDescent="0.25">
      <c r="A49" s="11">
        <v>46114</v>
      </c>
      <c r="B49" s="25" t="s">
        <v>70</v>
      </c>
      <c r="C49" s="32" t="s">
        <v>71</v>
      </c>
      <c r="D49" t="s">
        <v>53</v>
      </c>
      <c r="E49" s="12" t="s">
        <v>83</v>
      </c>
      <c r="F49" s="13">
        <v>0.33333333333333331</v>
      </c>
      <c r="G49" s="13">
        <v>0.70833333333333337</v>
      </c>
      <c r="H49" s="13">
        <f>VLOOKUP(B49,[2]IN!$A$2:$L$29,10,0)</f>
        <v>0.31460648148148146</v>
      </c>
      <c r="I49" s="13">
        <f>VLOOKUP(B49,[2]OUT!$A$4:$B$31,2,0)</f>
        <v>0.71107638888888891</v>
      </c>
      <c r="J49" s="12"/>
      <c r="K49" s="12"/>
      <c r="L49" s="7">
        <f t="shared" si="5"/>
        <v>0.33333333333333331</v>
      </c>
      <c r="M49" s="8">
        <f t="shared" si="6"/>
        <v>0.70833333333333326</v>
      </c>
      <c r="N49" s="9">
        <v>1</v>
      </c>
      <c r="O49" s="10">
        <f t="shared" si="7"/>
        <v>0.33333333333333326</v>
      </c>
      <c r="P49" s="7">
        <f t="shared" si="3"/>
        <v>0</v>
      </c>
      <c r="Q49" s="7">
        <f t="shared" si="4"/>
        <v>0.33333333333333326</v>
      </c>
      <c r="R49" s="12"/>
    </row>
    <row r="50" spans="1:18" x14ac:dyDescent="0.25">
      <c r="A50" s="11">
        <v>46114</v>
      </c>
      <c r="B50" s="25" t="s">
        <v>72</v>
      </c>
      <c r="C50" s="32" t="s">
        <v>73</v>
      </c>
      <c r="D50" t="s">
        <v>53</v>
      </c>
      <c r="E50" s="12" t="s">
        <v>84</v>
      </c>
      <c r="F50" s="13">
        <v>0.35416666666666669</v>
      </c>
      <c r="G50" s="13">
        <v>0.72916666666666663</v>
      </c>
      <c r="H50" s="13">
        <f>VLOOKUP(B50,[2]IN!$A$2:$L$29,10,0)</f>
        <v>0.3475347222222222</v>
      </c>
      <c r="I50" s="13">
        <f>VLOOKUP(B50,[2]OUT!$A$4:$B$31,2,0)</f>
        <v>0.72968749999999993</v>
      </c>
      <c r="J50" s="12"/>
      <c r="K50" s="12"/>
      <c r="L50" s="7">
        <f t="shared" si="5"/>
        <v>0.35416666666666669</v>
      </c>
      <c r="M50" s="8">
        <f t="shared" si="6"/>
        <v>0.72916666666666663</v>
      </c>
      <c r="N50" s="9">
        <v>1</v>
      </c>
      <c r="O50" s="10">
        <f t="shared" si="7"/>
        <v>0.33333333333333326</v>
      </c>
      <c r="P50" s="7">
        <f t="shared" si="3"/>
        <v>0</v>
      </c>
      <c r="Q50" s="7">
        <f t="shared" si="4"/>
        <v>0.33333333333333326</v>
      </c>
      <c r="R50" s="12"/>
    </row>
    <row r="51" spans="1:18" x14ac:dyDescent="0.25">
      <c r="A51" s="11">
        <v>46114</v>
      </c>
      <c r="B51" s="25" t="s">
        <v>74</v>
      </c>
      <c r="C51" s="30" t="s">
        <v>75</v>
      </c>
      <c r="D51" t="s">
        <v>53</v>
      </c>
      <c r="E51" s="12" t="s">
        <v>82</v>
      </c>
      <c r="F51" s="13">
        <v>0.25</v>
      </c>
      <c r="G51" s="13">
        <v>0.58333333333333337</v>
      </c>
      <c r="H51" s="13">
        <f>VLOOKUP(B51,[2]IN!$A$2:$L$29,10,0)</f>
        <v>0.24542824074074074</v>
      </c>
      <c r="I51" s="13">
        <f>VLOOKUP(B51,[2]OUT!$A$4:$B$31,2,0)</f>
        <v>0.5834259259259259</v>
      </c>
      <c r="J51" s="12"/>
      <c r="K51" s="12"/>
      <c r="L51" s="7">
        <f t="shared" si="5"/>
        <v>0.25</v>
      </c>
      <c r="M51" s="8">
        <f t="shared" si="6"/>
        <v>0.58333333333333326</v>
      </c>
      <c r="N51" s="9">
        <v>0</v>
      </c>
      <c r="O51" s="10">
        <f t="shared" si="7"/>
        <v>0.33333333333333326</v>
      </c>
      <c r="P51" s="7">
        <f t="shared" si="3"/>
        <v>0</v>
      </c>
      <c r="Q51" s="7">
        <f t="shared" si="4"/>
        <v>0.33333333333333326</v>
      </c>
      <c r="R51" s="12"/>
    </row>
    <row r="52" spans="1:18" x14ac:dyDescent="0.25">
      <c r="A52" s="11">
        <v>46115</v>
      </c>
      <c r="B52" s="14" t="s">
        <v>17</v>
      </c>
      <c r="C52" s="15" t="s">
        <v>18</v>
      </c>
      <c r="D52" t="s">
        <v>19</v>
      </c>
      <c r="E52" s="12" t="s">
        <v>84</v>
      </c>
      <c r="F52" s="13">
        <v>0.35416666666666669</v>
      </c>
      <c r="G52" s="13">
        <v>0.72916666666666663</v>
      </c>
      <c r="H52" s="13">
        <f>VLOOKUP(B52,[3]IN!$A$2:$L$27,10,0)</f>
        <v>0.33682870370370371</v>
      </c>
      <c r="I52" s="13">
        <f>VLOOKUP(B52,[3]OUT!$A$3:$B$32,2,0)</f>
        <v>0.72954861111111102</v>
      </c>
      <c r="J52" s="12"/>
      <c r="K52" s="12"/>
      <c r="L52" s="7">
        <f t="shared" si="5"/>
        <v>0.35416666666666669</v>
      </c>
      <c r="M52" s="8">
        <f t="shared" si="6"/>
        <v>0.72916666666666663</v>
      </c>
      <c r="N52" s="9">
        <v>1</v>
      </c>
      <c r="O52" s="10">
        <f t="shared" si="7"/>
        <v>0.33333333333333326</v>
      </c>
      <c r="P52" s="7">
        <f t="shared" si="3"/>
        <v>0</v>
      </c>
      <c r="Q52" s="7">
        <f t="shared" si="4"/>
        <v>0.33333333333333326</v>
      </c>
      <c r="R52" s="12"/>
    </row>
    <row r="53" spans="1:18" x14ac:dyDescent="0.25">
      <c r="A53" s="11">
        <v>46115</v>
      </c>
      <c r="B53" s="18" t="s">
        <v>24</v>
      </c>
      <c r="C53" s="19" t="s">
        <v>25</v>
      </c>
      <c r="D53" t="s">
        <v>19</v>
      </c>
      <c r="E53" s="12" t="s">
        <v>82</v>
      </c>
      <c r="F53" s="13">
        <v>0.25</v>
      </c>
      <c r="G53" s="13">
        <v>0.58333333333333337</v>
      </c>
      <c r="H53" s="13">
        <f>VLOOKUP(B53,[3]IN!$A$2:$L$27,10,0)</f>
        <v>0.24084490740740741</v>
      </c>
      <c r="I53" s="13">
        <f>VLOOKUP(B53,[3]OUT!$A$3:$B$32,2,0)</f>
        <v>0.70894675925925921</v>
      </c>
      <c r="J53" s="12"/>
      <c r="K53" s="12"/>
      <c r="L53" s="7">
        <f t="shared" si="5"/>
        <v>0.25</v>
      </c>
      <c r="M53" s="8">
        <f t="shared" si="6"/>
        <v>0.70833333333333326</v>
      </c>
      <c r="N53" s="9">
        <v>0</v>
      </c>
      <c r="O53" s="10">
        <f t="shared" si="7"/>
        <v>0.33333333333333337</v>
      </c>
      <c r="P53" s="7">
        <f t="shared" si="3"/>
        <v>0.12499999999999989</v>
      </c>
      <c r="Q53" s="7">
        <f t="shared" si="4"/>
        <v>0.45833333333333326</v>
      </c>
      <c r="R53" s="12"/>
    </row>
    <row r="54" spans="1:18" x14ac:dyDescent="0.25">
      <c r="A54" s="11">
        <v>46115</v>
      </c>
      <c r="B54" s="16" t="s">
        <v>26</v>
      </c>
      <c r="C54" s="17" t="s">
        <v>27</v>
      </c>
      <c r="D54" t="s">
        <v>19</v>
      </c>
      <c r="E54" s="12" t="s">
        <v>84</v>
      </c>
      <c r="F54" s="13">
        <v>0.35416666666666669</v>
      </c>
      <c r="G54" s="13">
        <v>0.72916666666666663</v>
      </c>
      <c r="H54" s="13">
        <f>VLOOKUP(B54,[3]IN!$A$2:$L$27,10,0)</f>
        <v>0.34054398148148146</v>
      </c>
      <c r="I54" s="13">
        <f>VLOOKUP(B54,[3]OUT!$A$3:$B$32,2,0)</f>
        <v>0.79178240740740735</v>
      </c>
      <c r="J54" s="12"/>
      <c r="K54" s="12"/>
      <c r="L54" s="7">
        <f t="shared" si="5"/>
        <v>0.35416666666666669</v>
      </c>
      <c r="M54" s="8">
        <f t="shared" si="6"/>
        <v>0.79166666666666663</v>
      </c>
      <c r="N54" s="9">
        <v>1</v>
      </c>
      <c r="O54" s="10">
        <f t="shared" si="7"/>
        <v>0.33333333333333326</v>
      </c>
      <c r="P54" s="7">
        <f t="shared" si="3"/>
        <v>6.25E-2</v>
      </c>
      <c r="Q54" s="7">
        <f t="shared" si="4"/>
        <v>0.39583333333333326</v>
      </c>
      <c r="R54" s="12"/>
    </row>
    <row r="55" spans="1:18" x14ac:dyDescent="0.25">
      <c r="A55" s="11">
        <v>46115</v>
      </c>
      <c r="B55" s="16" t="s">
        <v>32</v>
      </c>
      <c r="C55" s="20" t="s">
        <v>33</v>
      </c>
      <c r="D55" t="s">
        <v>19</v>
      </c>
      <c r="E55" s="12" t="s">
        <v>84</v>
      </c>
      <c r="F55" s="13">
        <v>0.35416666666666669</v>
      </c>
      <c r="G55" s="13">
        <v>0.72916666666666663</v>
      </c>
      <c r="H55" s="13">
        <f>VLOOKUP(B55,[3]IN!$A$2:$L$27,10,0)</f>
        <v>0.35591435185185188</v>
      </c>
      <c r="I55" s="13">
        <f>VLOOKUP(B55,[3]OUT!$A$3:$B$32,2,0)</f>
        <v>0.72938657407407403</v>
      </c>
      <c r="J55" s="12"/>
      <c r="K55" s="12"/>
      <c r="L55" s="7">
        <f t="shared" si="5"/>
        <v>0.35416666666666669</v>
      </c>
      <c r="M55" s="8">
        <f t="shared" si="6"/>
        <v>0.72916666666666663</v>
      </c>
      <c r="N55" s="9">
        <v>1</v>
      </c>
      <c r="O55" s="10">
        <f t="shared" si="7"/>
        <v>0.33333333333333326</v>
      </c>
      <c r="P55" s="7">
        <f t="shared" si="3"/>
        <v>0</v>
      </c>
      <c r="Q55" s="7">
        <f t="shared" si="4"/>
        <v>0.33333333333333326</v>
      </c>
      <c r="R55" s="12"/>
    </row>
    <row r="56" spans="1:18" x14ac:dyDescent="0.25">
      <c r="A56" s="11">
        <v>46115</v>
      </c>
      <c r="B56" s="16" t="s">
        <v>34</v>
      </c>
      <c r="C56" s="17" t="s">
        <v>35</v>
      </c>
      <c r="D56" t="s">
        <v>19</v>
      </c>
      <c r="E56" s="12" t="s">
        <v>84</v>
      </c>
      <c r="F56" s="13">
        <v>0.35416666666666669</v>
      </c>
      <c r="G56" s="13">
        <v>0.72916666666666663</v>
      </c>
      <c r="H56" s="13">
        <f>VLOOKUP(B56,[3]IN!$A$2:$L$27,10,0)</f>
        <v>0.32954861111111111</v>
      </c>
      <c r="I56" s="13">
        <f>VLOOKUP(B56,[3]OUT!$A$3:$B$32,2,0)</f>
        <v>0.72931712962962969</v>
      </c>
      <c r="J56" s="12"/>
      <c r="K56" s="12"/>
      <c r="L56" s="7">
        <f t="shared" si="5"/>
        <v>0.35416666666666669</v>
      </c>
      <c r="M56" s="8">
        <f t="shared" si="6"/>
        <v>0.72916666666666663</v>
      </c>
      <c r="N56" s="9">
        <v>1</v>
      </c>
      <c r="O56" s="10">
        <f t="shared" si="7"/>
        <v>0.33333333333333326</v>
      </c>
      <c r="P56" s="7">
        <f t="shared" si="3"/>
        <v>0</v>
      </c>
      <c r="Q56" s="7">
        <f t="shared" si="4"/>
        <v>0.33333333333333326</v>
      </c>
      <c r="R56" s="12"/>
    </row>
    <row r="57" spans="1:18" x14ac:dyDescent="0.25">
      <c r="A57" s="11">
        <v>46115</v>
      </c>
      <c r="B57" s="16" t="s">
        <v>36</v>
      </c>
      <c r="C57" s="21" t="s">
        <v>37</v>
      </c>
      <c r="D57" t="s">
        <v>19</v>
      </c>
      <c r="E57" s="12" t="s">
        <v>84</v>
      </c>
      <c r="F57" s="13">
        <v>0.35416666666666669</v>
      </c>
      <c r="G57" s="13">
        <v>0.72916666666666663</v>
      </c>
      <c r="H57" s="13">
        <f>VLOOKUP(B57,[3]IN!$A$2:$L$27,10,0)</f>
        <v>0.34792824074074075</v>
      </c>
      <c r="I57" s="13">
        <f>VLOOKUP(B57,[3]OUT!$A$3:$B$32,2,0)</f>
        <v>0.72961805555555559</v>
      </c>
      <c r="J57" s="12"/>
      <c r="K57" s="12"/>
      <c r="L57" s="7">
        <f t="shared" si="5"/>
        <v>0.35416666666666669</v>
      </c>
      <c r="M57" s="8">
        <f t="shared" si="6"/>
        <v>0.72916666666666663</v>
      </c>
      <c r="N57" s="9">
        <v>1</v>
      </c>
      <c r="O57" s="10">
        <f t="shared" si="7"/>
        <v>0.33333333333333326</v>
      </c>
      <c r="P57" s="7">
        <f t="shared" si="3"/>
        <v>0</v>
      </c>
      <c r="Q57" s="7">
        <f t="shared" si="4"/>
        <v>0.33333333333333326</v>
      </c>
      <c r="R57" s="12"/>
    </row>
    <row r="58" spans="1:18" x14ac:dyDescent="0.25">
      <c r="A58" s="11">
        <v>46115</v>
      </c>
      <c r="B58" s="16" t="s">
        <v>38</v>
      </c>
      <c r="C58" s="21" t="s">
        <v>39</v>
      </c>
      <c r="D58" t="s">
        <v>19</v>
      </c>
      <c r="E58" s="12" t="s">
        <v>84</v>
      </c>
      <c r="F58" s="13">
        <v>0.35416666666666669</v>
      </c>
      <c r="G58" s="13">
        <v>0.72916666666666663</v>
      </c>
      <c r="H58" s="13">
        <f>VLOOKUP(B58,[3]IN!$A$2:$L$27,10,0)</f>
        <v>0.33666666666666667</v>
      </c>
      <c r="I58" s="13">
        <f>VLOOKUP(B58,[3]OUT!$A$3:$B$32,2,0)</f>
        <v>0.72946759259259253</v>
      </c>
      <c r="J58" s="12"/>
      <c r="K58" s="12"/>
      <c r="L58" s="7">
        <f t="shared" si="5"/>
        <v>0.35416666666666669</v>
      </c>
      <c r="M58" s="8">
        <f t="shared" si="6"/>
        <v>0.72916666666666663</v>
      </c>
      <c r="N58" s="9">
        <v>1</v>
      </c>
      <c r="O58" s="10">
        <f t="shared" si="7"/>
        <v>0.33333333333333326</v>
      </c>
      <c r="P58" s="7">
        <f t="shared" si="3"/>
        <v>0</v>
      </c>
      <c r="Q58" s="7">
        <f t="shared" si="4"/>
        <v>0.33333333333333326</v>
      </c>
      <c r="R58" s="12"/>
    </row>
    <row r="59" spans="1:18" x14ac:dyDescent="0.25">
      <c r="A59" s="11">
        <v>46115</v>
      </c>
      <c r="B59" s="16" t="s">
        <v>40</v>
      </c>
      <c r="C59" s="22" t="s">
        <v>41</v>
      </c>
      <c r="D59" t="s">
        <v>42</v>
      </c>
      <c r="E59" s="12" t="s">
        <v>84</v>
      </c>
      <c r="F59" s="13">
        <v>0.35416666666666669</v>
      </c>
      <c r="G59" s="13">
        <v>0.72916666666666663</v>
      </c>
      <c r="H59" s="13">
        <f>VLOOKUP(B59,[3]IN!$A$2:$L$27,10,0)</f>
        <v>0.33739583333333334</v>
      </c>
      <c r="I59" s="13">
        <f>VLOOKUP(B59,[3]OUT!$A$3:$B$32,2,0)</f>
        <v>0.72993055555555564</v>
      </c>
      <c r="J59" s="12"/>
      <c r="K59" s="12"/>
      <c r="L59" s="7">
        <f t="shared" si="5"/>
        <v>0.35416666666666669</v>
      </c>
      <c r="M59" s="8">
        <f t="shared" si="6"/>
        <v>0.72916666666666663</v>
      </c>
      <c r="N59" s="9">
        <v>1</v>
      </c>
      <c r="O59" s="10">
        <f t="shared" si="7"/>
        <v>0.33333333333333326</v>
      </c>
      <c r="P59" s="7">
        <f t="shared" si="3"/>
        <v>0</v>
      </c>
      <c r="Q59" s="7">
        <f t="shared" si="4"/>
        <v>0.33333333333333326</v>
      </c>
      <c r="R59" s="12"/>
    </row>
    <row r="60" spans="1:18" x14ac:dyDescent="0.25">
      <c r="A60" s="11">
        <v>46115</v>
      </c>
      <c r="B60" s="16" t="s">
        <v>43</v>
      </c>
      <c r="C60" s="23" t="s">
        <v>44</v>
      </c>
      <c r="D60" t="s">
        <v>42</v>
      </c>
      <c r="E60" s="12" t="s">
        <v>84</v>
      </c>
      <c r="F60" s="13">
        <v>0.35416666666666669</v>
      </c>
      <c r="G60" s="13">
        <v>0.72916666666666663</v>
      </c>
      <c r="H60" s="13">
        <f>VLOOKUP(B60,[3]IN!$A$2:$L$27,10,0)</f>
        <v>0.34814814814814815</v>
      </c>
      <c r="I60" s="13">
        <f>VLOOKUP(B60,[3]OUT!$A$3:$B$32,2,0)</f>
        <v>0.72960648148148144</v>
      </c>
      <c r="J60" s="12"/>
      <c r="K60" s="12"/>
      <c r="L60" s="7">
        <f t="shared" si="5"/>
        <v>0.35416666666666669</v>
      </c>
      <c r="M60" s="8">
        <f t="shared" si="6"/>
        <v>0.72916666666666663</v>
      </c>
      <c r="N60" s="9">
        <v>1</v>
      </c>
      <c r="O60" s="10">
        <f t="shared" si="7"/>
        <v>0.33333333333333326</v>
      </c>
      <c r="P60" s="7">
        <f t="shared" si="3"/>
        <v>0</v>
      </c>
      <c r="Q60" s="7">
        <f t="shared" si="4"/>
        <v>0.33333333333333326</v>
      </c>
      <c r="R60" s="12"/>
    </row>
    <row r="61" spans="1:18" x14ac:dyDescent="0.25">
      <c r="A61" s="11">
        <v>46115</v>
      </c>
      <c r="B61" s="16" t="s">
        <v>45</v>
      </c>
      <c r="C61" s="23" t="s">
        <v>46</v>
      </c>
      <c r="D61" t="s">
        <v>42</v>
      </c>
      <c r="E61" s="12" t="s">
        <v>82</v>
      </c>
      <c r="F61" s="13">
        <v>0.25</v>
      </c>
      <c r="G61" s="13">
        <v>0.58333333333333337</v>
      </c>
      <c r="H61" s="13">
        <f>VLOOKUP(B61,[3]IN!$A$2:$L$27,10,0)</f>
        <v>0.24046296296296296</v>
      </c>
      <c r="I61" s="13">
        <f>VLOOKUP(B61,[3]OUT!$A$3:$B$32,2,0)</f>
        <v>0.58368055555555554</v>
      </c>
      <c r="J61" s="12"/>
      <c r="K61" s="12"/>
      <c r="L61" s="7">
        <f t="shared" si="5"/>
        <v>0.25</v>
      </c>
      <c r="M61" s="8">
        <f t="shared" si="6"/>
        <v>0.58333333333333326</v>
      </c>
      <c r="N61" s="9">
        <v>0</v>
      </c>
      <c r="O61" s="10">
        <f t="shared" si="7"/>
        <v>0.33333333333333326</v>
      </c>
      <c r="P61" s="7">
        <f t="shared" si="3"/>
        <v>0</v>
      </c>
      <c r="Q61" s="7">
        <f t="shared" si="4"/>
        <v>0.33333333333333326</v>
      </c>
      <c r="R61" s="12"/>
    </row>
    <row r="62" spans="1:18" x14ac:dyDescent="0.25">
      <c r="A62" s="11">
        <v>46115</v>
      </c>
      <c r="B62" s="16" t="s">
        <v>49</v>
      </c>
      <c r="C62" s="24" t="s">
        <v>50</v>
      </c>
      <c r="D62" t="s">
        <v>42</v>
      </c>
      <c r="E62" s="12" t="s">
        <v>84</v>
      </c>
      <c r="F62" s="13">
        <v>0.35416666666666669</v>
      </c>
      <c r="G62" s="13">
        <v>0.72916666666666663</v>
      </c>
      <c r="H62" s="13">
        <f>VLOOKUP(B62,[3]IN!$A$2:$L$27,10,0)</f>
        <v>0.36057870370370365</v>
      </c>
      <c r="I62" s="13">
        <f>VLOOKUP(B62,[3]OUT!$A$3:$B$32,2,0)</f>
        <v>0.73032407407407407</v>
      </c>
      <c r="J62" s="12"/>
      <c r="K62" s="12"/>
      <c r="L62" s="7">
        <f t="shared" si="5"/>
        <v>0.35416666666666669</v>
      </c>
      <c r="M62" s="8">
        <f t="shared" si="6"/>
        <v>0.72916666666666663</v>
      </c>
      <c r="N62" s="9">
        <v>1</v>
      </c>
      <c r="O62" s="10">
        <f t="shared" si="7"/>
        <v>0.33333333333333326</v>
      </c>
      <c r="P62" s="7">
        <f t="shared" si="3"/>
        <v>0</v>
      </c>
      <c r="Q62" s="7">
        <f t="shared" si="4"/>
        <v>0.33333333333333326</v>
      </c>
      <c r="R62" s="12"/>
    </row>
    <row r="63" spans="1:18" x14ac:dyDescent="0.25">
      <c r="A63" s="11">
        <v>46115</v>
      </c>
      <c r="B63" s="25" t="s">
        <v>51</v>
      </c>
      <c r="C63" s="26" t="s">
        <v>52</v>
      </c>
      <c r="D63" t="s">
        <v>53</v>
      </c>
      <c r="E63" s="12" t="s">
        <v>84</v>
      </c>
      <c r="F63" s="13">
        <v>0.35416666666666669</v>
      </c>
      <c r="G63" s="13">
        <v>0.72916666666666663</v>
      </c>
      <c r="H63" s="13">
        <f>VLOOKUP(B63,[3]IN!$A$2:$L$27,10,0)</f>
        <v>0.34479166666666666</v>
      </c>
      <c r="I63" s="13">
        <f>VLOOKUP(B63,[3]OUT!$A$3:$B$32,2,0)</f>
        <v>0.72939814814814818</v>
      </c>
      <c r="J63" s="12"/>
      <c r="K63" s="12"/>
      <c r="L63" s="7">
        <f t="shared" si="5"/>
        <v>0.35416666666666669</v>
      </c>
      <c r="M63" s="8">
        <f t="shared" si="6"/>
        <v>0.72916666666666663</v>
      </c>
      <c r="N63" s="9">
        <v>1</v>
      </c>
      <c r="O63" s="10">
        <f t="shared" si="7"/>
        <v>0.33333333333333326</v>
      </c>
      <c r="P63" s="7">
        <f t="shared" si="3"/>
        <v>0</v>
      </c>
      <c r="Q63" s="7">
        <f t="shared" si="4"/>
        <v>0.33333333333333326</v>
      </c>
      <c r="R63" s="12"/>
    </row>
    <row r="64" spans="1:18" x14ac:dyDescent="0.25">
      <c r="A64" s="11">
        <v>46115</v>
      </c>
      <c r="B64" s="25" t="s">
        <v>54</v>
      </c>
      <c r="C64" s="26" t="s">
        <v>55</v>
      </c>
      <c r="D64" t="s">
        <v>53</v>
      </c>
      <c r="E64" s="12" t="s">
        <v>83</v>
      </c>
      <c r="F64" s="13">
        <v>0.33333333333333331</v>
      </c>
      <c r="G64" s="13">
        <v>0.70833333333333337</v>
      </c>
      <c r="H64" s="13">
        <f>VLOOKUP(B64,[3]IN!$A$2:$L$27,10,0)</f>
        <v>0.32721064814814815</v>
      </c>
      <c r="I64" s="13">
        <f>VLOOKUP(B64,[3]OUT!$A$3:$B$32,2,0)</f>
        <v>0.70826388888888892</v>
      </c>
      <c r="J64" s="12"/>
      <c r="K64" s="12"/>
      <c r="L64" s="7">
        <f t="shared" si="5"/>
        <v>0.33333333333333331</v>
      </c>
      <c r="M64" s="8">
        <f t="shared" si="6"/>
        <v>0.6875</v>
      </c>
      <c r="N64" s="9">
        <v>1</v>
      </c>
      <c r="O64" s="10">
        <f t="shared" si="7"/>
        <v>0.3125</v>
      </c>
      <c r="P64" s="7">
        <f t="shared" si="3"/>
        <v>0</v>
      </c>
      <c r="Q64" s="7">
        <f t="shared" si="4"/>
        <v>0.3125</v>
      </c>
      <c r="R64" s="12"/>
    </row>
    <row r="65" spans="1:18" x14ac:dyDescent="0.25">
      <c r="A65" s="11">
        <v>46115</v>
      </c>
      <c r="B65" s="25" t="s">
        <v>58</v>
      </c>
      <c r="C65" s="28" t="s">
        <v>59</v>
      </c>
      <c r="D65" t="s">
        <v>53</v>
      </c>
      <c r="E65" s="12" t="s">
        <v>84</v>
      </c>
      <c r="F65" s="13">
        <v>0.35416666666666669</v>
      </c>
      <c r="G65" s="13">
        <v>0.72916666666666663</v>
      </c>
      <c r="H65" s="13">
        <f>VLOOKUP(B65,[3]IN!$A$2:$L$27,10,0)</f>
        <v>0.33710648148148148</v>
      </c>
      <c r="I65" s="13">
        <f>VLOOKUP(B65,[3]OUT!$A$3:$B$32,2,0)</f>
        <v>0.72958333333333336</v>
      </c>
      <c r="J65" s="12"/>
      <c r="K65" s="12"/>
      <c r="L65" s="7">
        <f t="shared" si="5"/>
        <v>0.35416666666666669</v>
      </c>
      <c r="M65" s="8">
        <f t="shared" si="6"/>
        <v>0.72916666666666663</v>
      </c>
      <c r="N65" s="9">
        <v>1</v>
      </c>
      <c r="O65" s="10">
        <f t="shared" si="7"/>
        <v>0.33333333333333326</v>
      </c>
      <c r="P65" s="7">
        <f t="shared" si="3"/>
        <v>0</v>
      </c>
      <c r="Q65" s="7">
        <f t="shared" si="4"/>
        <v>0.33333333333333326</v>
      </c>
      <c r="R65" s="12"/>
    </row>
    <row r="66" spans="1:18" x14ac:dyDescent="0.25">
      <c r="A66" s="11">
        <v>46115</v>
      </c>
      <c r="B66" s="25" t="s">
        <v>60</v>
      </c>
      <c r="C66" s="29" t="s">
        <v>61</v>
      </c>
      <c r="D66" t="s">
        <v>53</v>
      </c>
      <c r="E66" s="12" t="s">
        <v>85</v>
      </c>
      <c r="F66" s="13">
        <v>0.58333333333333337</v>
      </c>
      <c r="G66" s="13">
        <v>0.91666666666666663</v>
      </c>
      <c r="H66" s="13">
        <f>VLOOKUP(B66,[3]IN!$A$2:$L$27,10,0)</f>
        <v>0.56542824074074072</v>
      </c>
      <c r="I66" s="13">
        <f>VLOOKUP(B66,[3]OUT!$A$3:$B$32,2,0)</f>
        <v>0.92043981481481485</v>
      </c>
      <c r="J66" s="12"/>
      <c r="K66" s="12"/>
      <c r="L66" s="7">
        <f t="shared" si="5"/>
        <v>0.58333333333333337</v>
      </c>
      <c r="M66" s="8">
        <f t="shared" si="6"/>
        <v>0.91666666666666663</v>
      </c>
      <c r="N66" s="9">
        <v>0</v>
      </c>
      <c r="O66" s="10">
        <f t="shared" si="7"/>
        <v>0.33333333333333326</v>
      </c>
      <c r="P66" s="7">
        <f t="shared" ref="P66:P129" si="8">IF(M66&gt;G66,IF(M66-G66=TIME(0,30,0),TIME(0,0,0),M66-G66),TIME(0,0,0))</f>
        <v>0</v>
      </c>
      <c r="Q66" s="7">
        <f t="shared" si="4"/>
        <v>0.33333333333333326</v>
      </c>
      <c r="R66" s="12"/>
    </row>
    <row r="67" spans="1:18" x14ac:dyDescent="0.25">
      <c r="A67" s="11">
        <v>46115</v>
      </c>
      <c r="B67" s="25" t="s">
        <v>62</v>
      </c>
      <c r="C67" s="30" t="s">
        <v>63</v>
      </c>
      <c r="D67" t="s">
        <v>53</v>
      </c>
      <c r="E67" s="12" t="s">
        <v>84</v>
      </c>
      <c r="F67" s="13">
        <v>0.35416666666666669</v>
      </c>
      <c r="G67" s="13">
        <v>0.72916666666666663</v>
      </c>
      <c r="H67" s="13">
        <f>VLOOKUP(B67,[3]IN!$A$2:$L$27,10,0)</f>
        <v>0.35009259259259262</v>
      </c>
      <c r="I67" s="13">
        <f>VLOOKUP(B67,[3]OUT!$A$3:$B$32,2,0)</f>
        <v>0.72969907407407408</v>
      </c>
      <c r="J67" s="12"/>
      <c r="K67" s="12"/>
      <c r="L67" s="7">
        <f t="shared" si="5"/>
        <v>0.35416666666666669</v>
      </c>
      <c r="M67" s="8">
        <f t="shared" si="6"/>
        <v>0.72916666666666663</v>
      </c>
      <c r="N67" s="9">
        <v>1</v>
      </c>
      <c r="O67" s="10">
        <f t="shared" si="7"/>
        <v>0.33333333333333326</v>
      </c>
      <c r="P67" s="7">
        <f t="shared" si="8"/>
        <v>0</v>
      </c>
      <c r="Q67" s="7">
        <f t="shared" ref="Q67:Q130" si="9">IF(OR(D67="HS"),P67+O67,O67)</f>
        <v>0.33333333333333326</v>
      </c>
      <c r="R67" s="12"/>
    </row>
    <row r="68" spans="1:18" x14ac:dyDescent="0.25">
      <c r="A68" s="11">
        <v>46115</v>
      </c>
      <c r="B68" s="25" t="s">
        <v>64</v>
      </c>
      <c r="C68" s="30" t="s">
        <v>65</v>
      </c>
      <c r="D68" t="s">
        <v>53</v>
      </c>
      <c r="E68" s="12" t="s">
        <v>83</v>
      </c>
      <c r="F68" s="13">
        <v>0.33333333333333331</v>
      </c>
      <c r="G68" s="13">
        <v>0.70833333333333337</v>
      </c>
      <c r="H68" s="13">
        <f>VLOOKUP(B68,[3]IN!$A$2:$L$27,10,0)</f>
        <v>0.32978009259259261</v>
      </c>
      <c r="I68" s="13">
        <f>VLOOKUP(B68,[3]OUT!$A$3:$B$32,2,0)</f>
        <v>0.70909722222222227</v>
      </c>
      <c r="J68" s="12"/>
      <c r="K68" s="12"/>
      <c r="L68" s="7">
        <f t="shared" si="5"/>
        <v>0.33333333333333331</v>
      </c>
      <c r="M68" s="8">
        <f t="shared" si="6"/>
        <v>0.70833333333333326</v>
      </c>
      <c r="N68" s="9">
        <v>1</v>
      </c>
      <c r="O68" s="10">
        <f t="shared" si="7"/>
        <v>0.33333333333333326</v>
      </c>
      <c r="P68" s="7">
        <f t="shared" si="8"/>
        <v>0</v>
      </c>
      <c r="Q68" s="7">
        <f t="shared" si="9"/>
        <v>0.33333333333333326</v>
      </c>
      <c r="R68" s="12"/>
    </row>
    <row r="69" spans="1:18" x14ac:dyDescent="0.25">
      <c r="A69" s="11">
        <v>46115</v>
      </c>
      <c r="B69" s="25" t="s">
        <v>66</v>
      </c>
      <c r="C69" s="31" t="s">
        <v>67</v>
      </c>
      <c r="D69" t="s">
        <v>53</v>
      </c>
      <c r="E69" s="12" t="s">
        <v>84</v>
      </c>
      <c r="F69" s="13">
        <v>0.35416666666666669</v>
      </c>
      <c r="G69" s="13">
        <v>0.72916666666666663</v>
      </c>
      <c r="H69" s="13">
        <f>VLOOKUP(B69,[3]IN!$A$2:$L$27,10,0)</f>
        <v>0.3376736111111111</v>
      </c>
      <c r="I69" s="13">
        <f>VLOOKUP(B69,[3]OUT!$A$3:$B$32,2,0)</f>
        <v>0.72973379629629631</v>
      </c>
      <c r="J69" s="12"/>
      <c r="K69" s="12"/>
      <c r="L69" s="7">
        <f t="shared" si="5"/>
        <v>0.35416666666666669</v>
      </c>
      <c r="M69" s="8">
        <f t="shared" si="6"/>
        <v>0.72916666666666663</v>
      </c>
      <c r="N69" s="9">
        <v>1</v>
      </c>
      <c r="O69" s="10">
        <f t="shared" si="7"/>
        <v>0.33333333333333326</v>
      </c>
      <c r="P69" s="7">
        <f t="shared" si="8"/>
        <v>0</v>
      </c>
      <c r="Q69" s="7">
        <f t="shared" si="9"/>
        <v>0.33333333333333326</v>
      </c>
      <c r="R69" s="12"/>
    </row>
    <row r="70" spans="1:18" x14ac:dyDescent="0.25">
      <c r="A70" s="11">
        <v>46115</v>
      </c>
      <c r="B70" s="25" t="s">
        <v>68</v>
      </c>
      <c r="C70" s="31" t="s">
        <v>69</v>
      </c>
      <c r="D70" t="s">
        <v>53</v>
      </c>
      <c r="E70" s="12" t="s">
        <v>84</v>
      </c>
      <c r="F70" s="13">
        <v>0.35416666666666669</v>
      </c>
      <c r="G70" s="13">
        <v>0.72916666666666663</v>
      </c>
      <c r="H70" s="13">
        <f>VLOOKUP(B70,[3]IN!$A$2:$L$27,10,0)</f>
        <v>0.34616898148148145</v>
      </c>
      <c r="I70" s="13">
        <f>VLOOKUP(B70,[3]OUT!$A$3:$B$32,2,0)</f>
        <v>0.72950231481481476</v>
      </c>
      <c r="J70" s="12"/>
      <c r="K70" s="12"/>
      <c r="L70" s="7">
        <f t="shared" si="5"/>
        <v>0.35416666666666669</v>
      </c>
      <c r="M70" s="8">
        <f t="shared" si="6"/>
        <v>0.72916666666666663</v>
      </c>
      <c r="N70" s="9">
        <v>1</v>
      </c>
      <c r="O70" s="10">
        <f t="shared" si="7"/>
        <v>0.33333333333333326</v>
      </c>
      <c r="P70" s="7">
        <f t="shared" si="8"/>
        <v>0</v>
      </c>
      <c r="Q70" s="7">
        <f t="shared" si="9"/>
        <v>0.33333333333333326</v>
      </c>
      <c r="R70" s="12"/>
    </row>
    <row r="71" spans="1:18" x14ac:dyDescent="0.25">
      <c r="A71" s="11">
        <v>46115</v>
      </c>
      <c r="B71" s="25" t="s">
        <v>70</v>
      </c>
      <c r="C71" s="32" t="s">
        <v>71</v>
      </c>
      <c r="D71" t="s">
        <v>53</v>
      </c>
      <c r="E71" s="12" t="s">
        <v>83</v>
      </c>
      <c r="F71" s="13">
        <v>0.33333333333333331</v>
      </c>
      <c r="G71" s="13">
        <v>0.70833333333333337</v>
      </c>
      <c r="H71" s="13">
        <f>VLOOKUP(B71,[3]IN!$A$2:$L$27,10,0)</f>
        <v>0.31805555555555554</v>
      </c>
      <c r="I71" s="13">
        <f>VLOOKUP(B71,[3]OUT!$A$3:$B$32,2,0)</f>
        <v>0.70858796296296289</v>
      </c>
      <c r="J71" s="12"/>
      <c r="K71" s="12"/>
      <c r="L71" s="7">
        <f t="shared" si="5"/>
        <v>0.33333333333333331</v>
      </c>
      <c r="M71" s="8">
        <f t="shared" si="6"/>
        <v>0.70833333333333326</v>
      </c>
      <c r="N71" s="9">
        <v>1</v>
      </c>
      <c r="O71" s="10">
        <f t="shared" si="7"/>
        <v>0.33333333333333326</v>
      </c>
      <c r="P71" s="7">
        <f t="shared" si="8"/>
        <v>0</v>
      </c>
      <c r="Q71" s="7">
        <f t="shared" si="9"/>
        <v>0.33333333333333326</v>
      </c>
      <c r="R71" s="12"/>
    </row>
    <row r="72" spans="1:18" x14ac:dyDescent="0.25">
      <c r="A72" s="11">
        <v>46115</v>
      </c>
      <c r="B72" s="25" t="s">
        <v>72</v>
      </c>
      <c r="C72" s="32" t="s">
        <v>73</v>
      </c>
      <c r="D72" t="s">
        <v>53</v>
      </c>
      <c r="E72" s="12" t="s">
        <v>84</v>
      </c>
      <c r="F72" s="13">
        <v>0.35416666666666669</v>
      </c>
      <c r="G72" s="13">
        <v>0.72916666666666663</v>
      </c>
      <c r="H72" s="13">
        <f>VLOOKUP(B72,[3]IN!$A$2:$L$27,10,0)</f>
        <v>0.34819444444444447</v>
      </c>
      <c r="I72" s="13">
        <f>VLOOKUP(B72,[3]OUT!$A$3:$B$32,2,0)</f>
        <v>0.72991898148148149</v>
      </c>
      <c r="J72" s="12"/>
      <c r="K72" s="12"/>
      <c r="L72" s="7">
        <f t="shared" si="5"/>
        <v>0.35416666666666669</v>
      </c>
      <c r="M72" s="8">
        <f t="shared" si="6"/>
        <v>0.72916666666666663</v>
      </c>
      <c r="N72" s="9">
        <v>1</v>
      </c>
      <c r="O72" s="10">
        <f t="shared" si="7"/>
        <v>0.33333333333333326</v>
      </c>
      <c r="P72" s="7">
        <f t="shared" si="8"/>
        <v>0</v>
      </c>
      <c r="Q72" s="7">
        <f t="shared" si="9"/>
        <v>0.33333333333333326</v>
      </c>
      <c r="R72" s="12"/>
    </row>
    <row r="73" spans="1:18" x14ac:dyDescent="0.25">
      <c r="A73" s="11">
        <v>46115</v>
      </c>
      <c r="B73" s="25" t="s">
        <v>74</v>
      </c>
      <c r="C73" s="30" t="s">
        <v>75</v>
      </c>
      <c r="D73" t="s">
        <v>53</v>
      </c>
      <c r="E73" s="12" t="s">
        <v>85</v>
      </c>
      <c r="F73" s="13">
        <v>0.58333333333333337</v>
      </c>
      <c r="G73" s="13">
        <v>0.91666666666666663</v>
      </c>
      <c r="H73" s="13">
        <f>VLOOKUP(B73,[3]IN!$A$2:$L$27,10,0)</f>
        <v>0.56619212962962961</v>
      </c>
      <c r="I73" s="13">
        <f>VLOOKUP(B73,[3]OUT!$A$3:$B$32,2,0)</f>
        <v>0.91693287037037041</v>
      </c>
      <c r="J73" s="12"/>
      <c r="K73" s="12"/>
      <c r="L73" s="7">
        <f t="shared" si="5"/>
        <v>0.58333333333333337</v>
      </c>
      <c r="M73" s="8">
        <f t="shared" si="6"/>
        <v>0.91666666666666663</v>
      </c>
      <c r="N73" s="9">
        <v>0</v>
      </c>
      <c r="O73" s="10">
        <f t="shared" si="7"/>
        <v>0.33333333333333326</v>
      </c>
      <c r="P73" s="7">
        <f t="shared" si="8"/>
        <v>0</v>
      </c>
      <c r="Q73" s="7">
        <f t="shared" si="9"/>
        <v>0.33333333333333326</v>
      </c>
      <c r="R73" s="12"/>
    </row>
    <row r="74" spans="1:18" x14ac:dyDescent="0.25">
      <c r="A74" s="11">
        <v>46115</v>
      </c>
      <c r="B74" s="25" t="s">
        <v>76</v>
      </c>
      <c r="C74" s="30" t="s">
        <v>77</v>
      </c>
      <c r="D74" t="s">
        <v>53</v>
      </c>
      <c r="E74" s="12" t="s">
        <v>82</v>
      </c>
      <c r="F74" s="13">
        <v>0.25</v>
      </c>
      <c r="G74" s="13">
        <v>0.58333333333333337</v>
      </c>
      <c r="H74" s="13">
        <f>VLOOKUP(B74,[3]IN!$A$2:$L$27,10,0)</f>
        <v>0.24215277777777777</v>
      </c>
      <c r="I74" s="13">
        <f>VLOOKUP(B74,[3]OUT!$A$3:$B$32,2,0)</f>
        <v>0.58378472222222222</v>
      </c>
      <c r="J74" s="12"/>
      <c r="K74" s="12"/>
      <c r="L74" s="7">
        <f t="shared" si="5"/>
        <v>0.25</v>
      </c>
      <c r="M74" s="8">
        <f t="shared" si="6"/>
        <v>0.58333333333333326</v>
      </c>
      <c r="N74" s="9">
        <v>0</v>
      </c>
      <c r="O74" s="10">
        <f t="shared" si="7"/>
        <v>0.33333333333333326</v>
      </c>
      <c r="P74" s="7">
        <f t="shared" si="8"/>
        <v>0</v>
      </c>
      <c r="Q74" s="7">
        <f t="shared" si="9"/>
        <v>0.33333333333333326</v>
      </c>
      <c r="R74" s="12"/>
    </row>
    <row r="75" spans="1:18" x14ac:dyDescent="0.25">
      <c r="A75" s="11">
        <v>46116</v>
      </c>
      <c r="B75" s="14" t="s">
        <v>17</v>
      </c>
      <c r="C75" s="15" t="s">
        <v>18</v>
      </c>
      <c r="D75" t="s">
        <v>19</v>
      </c>
      <c r="E75" s="12" t="s">
        <v>84</v>
      </c>
      <c r="F75" s="13">
        <v>0.35416666666666669</v>
      </c>
      <c r="G75" s="13">
        <v>0.72916666666666663</v>
      </c>
      <c r="H75" s="13">
        <f>VLOOKUP(B75,[4]IN!$A$2:$L$28,10,0)</f>
        <v>0.33981481481481479</v>
      </c>
      <c r="I75" s="13">
        <f>VLOOKUP(B75,[4]OUT!$A$4:$B$31,2,0)</f>
        <v>0.73230324074074071</v>
      </c>
      <c r="J75" s="12"/>
      <c r="K75" s="12"/>
      <c r="L75" s="7">
        <f t="shared" si="5"/>
        <v>0.35416666666666669</v>
      </c>
      <c r="M75" s="8">
        <f t="shared" si="6"/>
        <v>0.72916666666666663</v>
      </c>
      <c r="N75" s="9">
        <v>1</v>
      </c>
      <c r="O75" s="10">
        <f t="shared" si="7"/>
        <v>0.33333333333333326</v>
      </c>
      <c r="P75" s="7">
        <f t="shared" si="8"/>
        <v>0</v>
      </c>
      <c r="Q75" s="7">
        <f t="shared" si="9"/>
        <v>0.33333333333333326</v>
      </c>
      <c r="R75" s="12"/>
    </row>
    <row r="76" spans="1:18" x14ac:dyDescent="0.25">
      <c r="A76" s="11">
        <v>46116</v>
      </c>
      <c r="B76" s="16" t="s">
        <v>22</v>
      </c>
      <c r="C76" s="17" t="s">
        <v>23</v>
      </c>
      <c r="D76" t="s">
        <v>19</v>
      </c>
      <c r="E76" s="12" t="s">
        <v>84</v>
      </c>
      <c r="F76" s="13">
        <v>0.35416666666666669</v>
      </c>
      <c r="G76" s="13">
        <v>0.72916666666666663</v>
      </c>
      <c r="H76" s="13">
        <f>VLOOKUP(B76,[4]IN!$A$2:$L$28,10,0)</f>
        <v>0.32254629629629633</v>
      </c>
      <c r="I76" s="13">
        <f>VLOOKUP(B76,[4]OUT!$A$4:$B$31,2,0)</f>
        <v>0.7926157407407407</v>
      </c>
      <c r="J76" s="12"/>
      <c r="K76" s="12"/>
      <c r="L76" s="7">
        <f t="shared" si="5"/>
        <v>0.35416666666666669</v>
      </c>
      <c r="M76" s="8">
        <f t="shared" si="6"/>
        <v>0.79166666666666663</v>
      </c>
      <c r="N76" s="9">
        <v>1</v>
      </c>
      <c r="O76" s="10">
        <f t="shared" si="7"/>
        <v>0.33333333333333326</v>
      </c>
      <c r="P76" s="7">
        <f t="shared" si="8"/>
        <v>6.25E-2</v>
      </c>
      <c r="Q76" s="7">
        <f t="shared" si="9"/>
        <v>0.39583333333333326</v>
      </c>
      <c r="R76" s="12"/>
    </row>
    <row r="77" spans="1:18" x14ac:dyDescent="0.25">
      <c r="A77" s="11">
        <v>46116</v>
      </c>
      <c r="B77" s="18" t="s">
        <v>24</v>
      </c>
      <c r="C77" s="19" t="s">
        <v>25</v>
      </c>
      <c r="D77" t="s">
        <v>19</v>
      </c>
      <c r="E77" s="12" t="s">
        <v>82</v>
      </c>
      <c r="F77" s="13">
        <v>0.25</v>
      </c>
      <c r="G77" s="13">
        <v>0.58333333333333337</v>
      </c>
      <c r="H77" s="13">
        <f>VLOOKUP(B77,[4]IN!$A$2:$L$28,10,0)</f>
        <v>0.25369212962962961</v>
      </c>
      <c r="I77" s="13">
        <f>VLOOKUP(B77,[4]OUT!$A$4:$B$31,2,0)</f>
        <v>0.71736111111111101</v>
      </c>
      <c r="J77" s="12"/>
      <c r="K77" s="12"/>
      <c r="L77" s="7">
        <f t="shared" si="5"/>
        <v>0.25</v>
      </c>
      <c r="M77" s="8">
        <f t="shared" si="6"/>
        <v>0.70833333333333326</v>
      </c>
      <c r="N77" s="9">
        <v>0</v>
      </c>
      <c r="O77" s="10">
        <f t="shared" si="7"/>
        <v>0.33333333333333337</v>
      </c>
      <c r="P77" s="7">
        <f t="shared" si="8"/>
        <v>0.12499999999999989</v>
      </c>
      <c r="Q77" s="7">
        <f t="shared" si="9"/>
        <v>0.45833333333333326</v>
      </c>
      <c r="R77" s="12"/>
    </row>
    <row r="78" spans="1:18" x14ac:dyDescent="0.25">
      <c r="A78" s="11">
        <v>46116</v>
      </c>
      <c r="B78" s="16" t="s">
        <v>26</v>
      </c>
      <c r="C78" s="17" t="s">
        <v>27</v>
      </c>
      <c r="D78" t="s">
        <v>19</v>
      </c>
      <c r="E78" s="12" t="s">
        <v>84</v>
      </c>
      <c r="F78" s="13">
        <v>0.35416666666666669</v>
      </c>
      <c r="G78" s="13">
        <v>0.72916666666666663</v>
      </c>
      <c r="H78" s="13">
        <f>VLOOKUP(B78,[4]IN!$A$2:$L$28,10,0)</f>
        <v>0.33952546296296293</v>
      </c>
      <c r="I78" s="13">
        <f>VLOOKUP(B78,[4]OUT!$A$4:$B$31,2,0)</f>
        <v>0.79193287037037041</v>
      </c>
      <c r="J78" s="12"/>
      <c r="K78" s="12"/>
      <c r="L78" s="7">
        <f t="shared" si="5"/>
        <v>0.35416666666666669</v>
      </c>
      <c r="M78" s="8">
        <f t="shared" si="6"/>
        <v>0.79166666666666663</v>
      </c>
      <c r="N78" s="9">
        <v>1</v>
      </c>
      <c r="O78" s="10">
        <f t="shared" si="7"/>
        <v>0.33333333333333326</v>
      </c>
      <c r="P78" s="7">
        <f t="shared" si="8"/>
        <v>6.25E-2</v>
      </c>
      <c r="Q78" s="7">
        <f t="shared" si="9"/>
        <v>0.39583333333333326</v>
      </c>
      <c r="R78" s="12"/>
    </row>
    <row r="79" spans="1:18" x14ac:dyDescent="0.25">
      <c r="A79" s="11">
        <v>46116</v>
      </c>
      <c r="B79" s="16" t="s">
        <v>32</v>
      </c>
      <c r="C79" s="20" t="s">
        <v>33</v>
      </c>
      <c r="D79" t="s">
        <v>19</v>
      </c>
      <c r="E79" s="12" t="s">
        <v>84</v>
      </c>
      <c r="F79" s="13">
        <v>0.35416666666666669</v>
      </c>
      <c r="G79" s="13">
        <v>0.72916666666666663</v>
      </c>
      <c r="H79" s="13">
        <f>VLOOKUP(B79,[4]IN!$A$2:$L$28,10,0)</f>
        <v>0.35187499999999999</v>
      </c>
      <c r="I79" s="13">
        <f>VLOOKUP(B79,[4]OUT!$A$4:$B$31,2,0)</f>
        <v>0.73245370370370377</v>
      </c>
      <c r="J79" s="12"/>
      <c r="K79" s="12"/>
      <c r="L79" s="7">
        <f t="shared" si="5"/>
        <v>0.35416666666666669</v>
      </c>
      <c r="M79" s="8">
        <f t="shared" si="6"/>
        <v>0.72916666666666663</v>
      </c>
      <c r="N79" s="9">
        <v>1</v>
      </c>
      <c r="O79" s="10">
        <f t="shared" si="7"/>
        <v>0.33333333333333326</v>
      </c>
      <c r="P79" s="7">
        <f t="shared" si="8"/>
        <v>0</v>
      </c>
      <c r="Q79" s="7">
        <f t="shared" si="9"/>
        <v>0.33333333333333326</v>
      </c>
      <c r="R79" s="12"/>
    </row>
    <row r="80" spans="1:18" x14ac:dyDescent="0.25">
      <c r="A80" s="11">
        <v>46116</v>
      </c>
      <c r="B80" s="16" t="s">
        <v>36</v>
      </c>
      <c r="C80" s="21" t="s">
        <v>37</v>
      </c>
      <c r="D80" t="s">
        <v>19</v>
      </c>
      <c r="E80" s="12" t="s">
        <v>84</v>
      </c>
      <c r="F80" s="13">
        <v>0.35416666666666669</v>
      </c>
      <c r="G80" s="13">
        <v>0.72916666666666663</v>
      </c>
      <c r="H80" s="13">
        <f>VLOOKUP(B80,[4]IN!$A$2:$L$28,10,0)</f>
        <v>0.356875</v>
      </c>
      <c r="I80" s="13">
        <f>VLOOKUP(B80,[4]OUT!$A$4:$B$31,2,0)</f>
        <v>0.73253472222222227</v>
      </c>
      <c r="J80" s="12"/>
      <c r="K80" s="12"/>
      <c r="L80" s="7">
        <f t="shared" si="5"/>
        <v>0.35416666666666669</v>
      </c>
      <c r="M80" s="8">
        <f t="shared" si="6"/>
        <v>0.72916666666666663</v>
      </c>
      <c r="N80" s="9">
        <v>1</v>
      </c>
      <c r="O80" s="10">
        <f t="shared" si="7"/>
        <v>0.33333333333333326</v>
      </c>
      <c r="P80" s="7">
        <f t="shared" si="8"/>
        <v>0</v>
      </c>
      <c r="Q80" s="7">
        <f t="shared" si="9"/>
        <v>0.33333333333333326</v>
      </c>
      <c r="R80" s="12"/>
    </row>
    <row r="81" spans="1:18" x14ac:dyDescent="0.25">
      <c r="A81" s="11">
        <v>46116</v>
      </c>
      <c r="B81" s="16" t="s">
        <v>38</v>
      </c>
      <c r="C81" s="21" t="s">
        <v>39</v>
      </c>
      <c r="D81" t="s">
        <v>19</v>
      </c>
      <c r="E81" s="12" t="s">
        <v>84</v>
      </c>
      <c r="F81" s="13">
        <v>0.35416666666666669</v>
      </c>
      <c r="G81" s="13">
        <v>0.72916666666666663</v>
      </c>
      <c r="H81" s="13">
        <f>VLOOKUP(B81,[4]IN!$A$2:$L$28,10,0)</f>
        <v>0.33991898148148153</v>
      </c>
      <c r="I81" s="13">
        <f>VLOOKUP(B81,[4]OUT!$A$4:$B$31,2,0)</f>
        <v>0.73221064814814818</v>
      </c>
      <c r="J81" s="12"/>
      <c r="K81" s="12"/>
      <c r="L81" s="7">
        <f t="shared" si="5"/>
        <v>0.35416666666666669</v>
      </c>
      <c r="M81" s="8">
        <f t="shared" si="6"/>
        <v>0.72916666666666663</v>
      </c>
      <c r="N81" s="9">
        <v>1</v>
      </c>
      <c r="O81" s="10">
        <f t="shared" si="7"/>
        <v>0.33333333333333326</v>
      </c>
      <c r="P81" s="7">
        <f t="shared" si="8"/>
        <v>0</v>
      </c>
      <c r="Q81" s="7">
        <f t="shared" si="9"/>
        <v>0.33333333333333326</v>
      </c>
      <c r="R81" s="12"/>
    </row>
    <row r="82" spans="1:18" x14ac:dyDescent="0.25">
      <c r="A82" s="11">
        <v>46116</v>
      </c>
      <c r="B82" s="16" t="s">
        <v>40</v>
      </c>
      <c r="C82" s="22" t="s">
        <v>41</v>
      </c>
      <c r="D82" t="s">
        <v>42</v>
      </c>
      <c r="E82" s="12" t="s">
        <v>84</v>
      </c>
      <c r="F82" s="13">
        <v>0.35416666666666669</v>
      </c>
      <c r="G82" s="13">
        <v>0.72916666666666663</v>
      </c>
      <c r="H82" s="13">
        <f>VLOOKUP(B82,[4]IN!$A$2:$L$28,10,0)</f>
        <v>0.34494212962962961</v>
      </c>
      <c r="I82" s="13">
        <f>VLOOKUP(B82,[4]OUT!$A$4:$B$31,2,0)</f>
        <v>0.72972222222222216</v>
      </c>
      <c r="J82" s="12"/>
      <c r="K82" s="12"/>
      <c r="L82" s="7">
        <f t="shared" si="5"/>
        <v>0.35416666666666669</v>
      </c>
      <c r="M82" s="8">
        <f t="shared" si="6"/>
        <v>0.72916666666666663</v>
      </c>
      <c r="N82" s="9">
        <v>1</v>
      </c>
      <c r="O82" s="10">
        <f t="shared" si="7"/>
        <v>0.33333333333333326</v>
      </c>
      <c r="P82" s="7">
        <f t="shared" si="8"/>
        <v>0</v>
      </c>
      <c r="Q82" s="7">
        <f t="shared" si="9"/>
        <v>0.33333333333333326</v>
      </c>
      <c r="R82" s="12"/>
    </row>
    <row r="83" spans="1:18" x14ac:dyDescent="0.25">
      <c r="A83" s="11">
        <v>46116</v>
      </c>
      <c r="B83" s="16" t="s">
        <v>43</v>
      </c>
      <c r="C83" s="23" t="s">
        <v>44</v>
      </c>
      <c r="D83" t="s">
        <v>42</v>
      </c>
      <c r="E83" s="12" t="s">
        <v>84</v>
      </c>
      <c r="F83" s="13">
        <v>0.35416666666666669</v>
      </c>
      <c r="G83" s="13">
        <v>0.72916666666666663</v>
      </c>
      <c r="H83" s="13">
        <f>VLOOKUP(B83,[4]IN!$A$2:$L$28,10,0)</f>
        <v>0.34968749999999998</v>
      </c>
      <c r="I83" s="13">
        <f>VLOOKUP(B83,[4]OUT!$A$4:$B$31,2,0)</f>
        <v>0.7724537037037037</v>
      </c>
      <c r="J83" s="12"/>
      <c r="K83" s="12"/>
      <c r="L83" s="7">
        <f t="shared" si="5"/>
        <v>0.35416666666666669</v>
      </c>
      <c r="M83" s="8">
        <f t="shared" si="6"/>
        <v>0.77083333333333326</v>
      </c>
      <c r="N83" s="9">
        <v>1</v>
      </c>
      <c r="O83" s="10">
        <f t="shared" si="7"/>
        <v>0.33333333333333326</v>
      </c>
      <c r="P83" s="7">
        <f t="shared" si="8"/>
        <v>4.166666666666663E-2</v>
      </c>
      <c r="Q83" s="7">
        <f t="shared" si="9"/>
        <v>0.33333333333333326</v>
      </c>
      <c r="R83" s="12"/>
    </row>
    <row r="84" spans="1:18" x14ac:dyDescent="0.25">
      <c r="A84" s="11">
        <v>46116</v>
      </c>
      <c r="B84" s="16" t="s">
        <v>49</v>
      </c>
      <c r="C84" s="24" t="s">
        <v>50</v>
      </c>
      <c r="D84" t="s">
        <v>42</v>
      </c>
      <c r="E84" s="12" t="s">
        <v>84</v>
      </c>
      <c r="F84" s="13">
        <v>0.35416666666666669</v>
      </c>
      <c r="G84" s="13">
        <v>0.72916666666666663</v>
      </c>
      <c r="H84" s="13">
        <f>VLOOKUP(B84,[4]IN!$A$2:$L$28,10,0)</f>
        <v>0.3589236111111111</v>
      </c>
      <c r="I84" s="13">
        <f>VLOOKUP(B84,[4]OUT!$A$4:$B$31,2,0)</f>
        <v>0.72994212962962957</v>
      </c>
      <c r="J84" s="12"/>
      <c r="K84" s="12"/>
      <c r="L84" s="7">
        <f t="shared" si="5"/>
        <v>0.35416666666666669</v>
      </c>
      <c r="M84" s="8">
        <f t="shared" si="6"/>
        <v>0.72916666666666663</v>
      </c>
      <c r="N84" s="9">
        <v>1</v>
      </c>
      <c r="O84" s="10">
        <f t="shared" si="7"/>
        <v>0.33333333333333326</v>
      </c>
      <c r="P84" s="7">
        <f t="shared" si="8"/>
        <v>0</v>
      </c>
      <c r="Q84" s="7">
        <f t="shared" si="9"/>
        <v>0.33333333333333326</v>
      </c>
      <c r="R84" s="12"/>
    </row>
    <row r="85" spans="1:18" x14ac:dyDescent="0.25">
      <c r="A85" s="11">
        <v>46116</v>
      </c>
      <c r="B85" s="25" t="s">
        <v>51</v>
      </c>
      <c r="C85" s="26" t="s">
        <v>52</v>
      </c>
      <c r="D85" t="s">
        <v>53</v>
      </c>
      <c r="E85" s="12" t="s">
        <v>84</v>
      </c>
      <c r="F85" s="13">
        <v>0.35416666666666669</v>
      </c>
      <c r="G85" s="13">
        <v>0.72916666666666663</v>
      </c>
      <c r="H85" s="13">
        <f>VLOOKUP(B85,[4]IN!$A$2:$L$28,10,0)</f>
        <v>0.34907407407407409</v>
      </c>
      <c r="I85" s="13">
        <f>VLOOKUP(B85,[4]OUT!$A$4:$B$31,2,0)</f>
        <v>0.73561342592592593</v>
      </c>
      <c r="J85" s="12"/>
      <c r="K85" s="12"/>
      <c r="L85" s="7">
        <f t="shared" si="5"/>
        <v>0.35416666666666669</v>
      </c>
      <c r="M85" s="8">
        <f t="shared" si="6"/>
        <v>0.72916666666666663</v>
      </c>
      <c r="N85" s="9">
        <v>1</v>
      </c>
      <c r="O85" s="10">
        <f t="shared" si="7"/>
        <v>0.33333333333333326</v>
      </c>
      <c r="P85" s="7">
        <f t="shared" si="8"/>
        <v>0</v>
      </c>
      <c r="Q85" s="7">
        <f t="shared" si="9"/>
        <v>0.33333333333333326</v>
      </c>
      <c r="R85" s="12"/>
    </row>
    <row r="86" spans="1:18" x14ac:dyDescent="0.25">
      <c r="A86" s="11">
        <v>46116</v>
      </c>
      <c r="B86" s="25" t="s">
        <v>54</v>
      </c>
      <c r="C86" s="26" t="s">
        <v>55</v>
      </c>
      <c r="D86" t="s">
        <v>53</v>
      </c>
      <c r="E86" s="12" t="s">
        <v>83</v>
      </c>
      <c r="F86" s="13">
        <v>0.33333333333333331</v>
      </c>
      <c r="G86" s="13">
        <v>0.70833333333333337</v>
      </c>
      <c r="H86" s="13">
        <f>VLOOKUP(B86,[4]IN!$A$2:$L$28,10,0)</f>
        <v>0.33451388888888894</v>
      </c>
      <c r="I86" s="13">
        <f>VLOOKUP(B86,[4]OUT!$A$4:$B$31,2,0)</f>
        <v>0.7090277777777777</v>
      </c>
      <c r="J86" s="12"/>
      <c r="K86" s="12"/>
      <c r="L86" s="7">
        <f t="shared" si="5"/>
        <v>0.33333333333333331</v>
      </c>
      <c r="M86" s="8">
        <f t="shared" si="6"/>
        <v>0.70833333333333326</v>
      </c>
      <c r="N86" s="9">
        <v>1</v>
      </c>
      <c r="O86" s="10">
        <f t="shared" si="7"/>
        <v>0.33333333333333326</v>
      </c>
      <c r="P86" s="7">
        <f t="shared" si="8"/>
        <v>0</v>
      </c>
      <c r="Q86" s="7">
        <f t="shared" si="9"/>
        <v>0.33333333333333326</v>
      </c>
      <c r="R86" s="12"/>
    </row>
    <row r="87" spans="1:18" x14ac:dyDescent="0.25">
      <c r="A87" s="11">
        <v>46116</v>
      </c>
      <c r="B87" s="25" t="s">
        <v>56</v>
      </c>
      <c r="C87" s="27" t="s">
        <v>57</v>
      </c>
      <c r="D87" t="s">
        <v>53</v>
      </c>
      <c r="E87" s="12" t="s">
        <v>84</v>
      </c>
      <c r="F87" s="13">
        <v>0.35416666666666669</v>
      </c>
      <c r="G87" s="13">
        <v>0.72916666666666663</v>
      </c>
      <c r="H87" s="13">
        <f>VLOOKUP(B87,[4]IN!$A$2:$L$28,10,0)</f>
        <v>0.35429398148148145</v>
      </c>
      <c r="I87" s="13">
        <f>VLOOKUP(B87,[4]OUT!$A$4:$B$31,2,0)</f>
        <v>0.72936342592592596</v>
      </c>
      <c r="J87" s="12"/>
      <c r="K87" s="12"/>
      <c r="L87" s="7">
        <f t="shared" si="5"/>
        <v>0.35416666666666669</v>
      </c>
      <c r="M87" s="8">
        <f t="shared" si="6"/>
        <v>0.72916666666666663</v>
      </c>
      <c r="N87" s="9">
        <v>1</v>
      </c>
      <c r="O87" s="10">
        <f t="shared" si="7"/>
        <v>0.33333333333333326</v>
      </c>
      <c r="P87" s="7">
        <f t="shared" si="8"/>
        <v>0</v>
      </c>
      <c r="Q87" s="7">
        <f t="shared" si="9"/>
        <v>0.33333333333333326</v>
      </c>
      <c r="R87" s="12"/>
    </row>
    <row r="88" spans="1:18" x14ac:dyDescent="0.25">
      <c r="A88" s="11">
        <v>46116</v>
      </c>
      <c r="B88" s="25" t="s">
        <v>58</v>
      </c>
      <c r="C88" s="28" t="s">
        <v>59</v>
      </c>
      <c r="D88" t="s">
        <v>53</v>
      </c>
      <c r="E88" s="12" t="s">
        <v>84</v>
      </c>
      <c r="F88" s="13">
        <v>0.35416666666666669</v>
      </c>
      <c r="G88" s="13">
        <v>0.72916666666666663</v>
      </c>
      <c r="H88" s="13">
        <f>VLOOKUP(B88,[4]IN!$A$2:$L$28,10,0)</f>
        <v>0.34030092592592592</v>
      </c>
      <c r="I88" s="13">
        <f>VLOOKUP(B88,[4]OUT!$A$4:$B$31,2,0)</f>
        <v>0.72979166666666673</v>
      </c>
      <c r="J88" s="12"/>
      <c r="K88" s="12"/>
      <c r="L88" s="7">
        <f t="shared" si="5"/>
        <v>0.35416666666666669</v>
      </c>
      <c r="M88" s="8">
        <f t="shared" si="6"/>
        <v>0.72916666666666663</v>
      </c>
      <c r="N88" s="9">
        <v>1</v>
      </c>
      <c r="O88" s="10">
        <f t="shared" si="7"/>
        <v>0.33333333333333326</v>
      </c>
      <c r="P88" s="7">
        <f t="shared" si="8"/>
        <v>0</v>
      </c>
      <c r="Q88" s="7">
        <f t="shared" si="9"/>
        <v>0.33333333333333326</v>
      </c>
      <c r="R88" s="12"/>
    </row>
    <row r="89" spans="1:18" x14ac:dyDescent="0.25">
      <c r="A89" s="11">
        <v>46116</v>
      </c>
      <c r="B89" s="25" t="s">
        <v>60</v>
      </c>
      <c r="C89" s="29" t="s">
        <v>61</v>
      </c>
      <c r="D89" t="s">
        <v>53</v>
      </c>
      <c r="E89" s="12" t="s">
        <v>85</v>
      </c>
      <c r="F89" s="13">
        <v>0.58333333333333337</v>
      </c>
      <c r="G89" s="13">
        <v>0.91666666666666663</v>
      </c>
      <c r="H89" s="13">
        <f>VLOOKUP(B89,[4]IN!$A$2:$L$28,10,0)</f>
        <v>0.57098379629629636</v>
      </c>
      <c r="I89" s="13">
        <f>VLOOKUP(B89,[4]OUT!$A$4:$B$31,2,0)</f>
        <v>0.91531250000000008</v>
      </c>
      <c r="J89" s="12"/>
      <c r="K89" s="12"/>
      <c r="L89" s="7">
        <f t="shared" si="5"/>
        <v>0.58333333333333337</v>
      </c>
      <c r="M89" s="8">
        <f t="shared" si="6"/>
        <v>0.89583333333333326</v>
      </c>
      <c r="N89" s="9">
        <v>0</v>
      </c>
      <c r="O89" s="10">
        <f t="shared" si="7"/>
        <v>0.31249999999999989</v>
      </c>
      <c r="P89" s="7">
        <f t="shared" si="8"/>
        <v>0</v>
      </c>
      <c r="Q89" s="7">
        <f t="shared" si="9"/>
        <v>0.31249999999999989</v>
      </c>
      <c r="R89" s="12"/>
    </row>
    <row r="90" spans="1:18" x14ac:dyDescent="0.25">
      <c r="A90" s="11">
        <v>46116</v>
      </c>
      <c r="B90" s="25" t="s">
        <v>62</v>
      </c>
      <c r="C90" s="30" t="s">
        <v>63</v>
      </c>
      <c r="D90" t="s">
        <v>53</v>
      </c>
      <c r="E90" s="12" t="s">
        <v>84</v>
      </c>
      <c r="F90" s="13">
        <v>0.35416666666666669</v>
      </c>
      <c r="G90" s="13">
        <v>0.72916666666666663</v>
      </c>
      <c r="H90" s="13">
        <f>VLOOKUP(B90,[4]IN!$A$2:$L$28,10,0)</f>
        <v>0.36226851851851855</v>
      </c>
      <c r="I90" s="13">
        <f>VLOOKUP(B90,[4]OUT!$A$4:$B$31,2,0)</f>
        <v>0.73187500000000005</v>
      </c>
      <c r="J90" s="12"/>
      <c r="K90" s="12"/>
      <c r="L90" s="7">
        <f t="shared" si="5"/>
        <v>0.35416666666666669</v>
      </c>
      <c r="M90" s="8">
        <f t="shared" si="6"/>
        <v>0.72916666666666663</v>
      </c>
      <c r="N90" s="9">
        <v>1</v>
      </c>
      <c r="O90" s="10">
        <f t="shared" si="7"/>
        <v>0.33333333333333326</v>
      </c>
      <c r="P90" s="7">
        <f t="shared" si="8"/>
        <v>0</v>
      </c>
      <c r="Q90" s="7">
        <f t="shared" si="9"/>
        <v>0.33333333333333326</v>
      </c>
      <c r="R90" s="12"/>
    </row>
    <row r="91" spans="1:18" x14ac:dyDescent="0.25">
      <c r="A91" s="11">
        <v>46116</v>
      </c>
      <c r="B91" s="25" t="s">
        <v>64</v>
      </c>
      <c r="C91" s="30" t="s">
        <v>65</v>
      </c>
      <c r="D91" t="s">
        <v>53</v>
      </c>
      <c r="E91" s="12" t="s">
        <v>83</v>
      </c>
      <c r="F91" s="13">
        <v>0.33333333333333331</v>
      </c>
      <c r="G91" s="13">
        <v>0.70833333333333337</v>
      </c>
      <c r="H91" s="13">
        <f>VLOOKUP(B91,[4]IN!$A$2:$L$28,10,0)</f>
        <v>0.31743055555555555</v>
      </c>
      <c r="I91" s="13">
        <f>VLOOKUP(B91,[4]OUT!$A$4:$B$31,2,0)</f>
        <v>0.70959490740740738</v>
      </c>
      <c r="J91" s="12"/>
      <c r="K91" s="12"/>
      <c r="L91" s="7">
        <f t="shared" si="5"/>
        <v>0.33333333333333331</v>
      </c>
      <c r="M91" s="8">
        <f t="shared" si="6"/>
        <v>0.70833333333333326</v>
      </c>
      <c r="N91" s="9">
        <v>1</v>
      </c>
      <c r="O91" s="10">
        <f t="shared" si="7"/>
        <v>0.33333333333333326</v>
      </c>
      <c r="P91" s="7">
        <f t="shared" si="8"/>
        <v>0</v>
      </c>
      <c r="Q91" s="7">
        <f t="shared" si="9"/>
        <v>0.33333333333333326</v>
      </c>
      <c r="R91" s="12"/>
    </row>
    <row r="92" spans="1:18" x14ac:dyDescent="0.25">
      <c r="A92" s="11">
        <v>46116</v>
      </c>
      <c r="B92" s="25" t="s">
        <v>66</v>
      </c>
      <c r="C92" s="31" t="s">
        <v>67</v>
      </c>
      <c r="D92" t="s">
        <v>53</v>
      </c>
      <c r="E92" s="12" t="s">
        <v>84</v>
      </c>
      <c r="F92" s="13">
        <v>0.35416666666666669</v>
      </c>
      <c r="G92" s="13">
        <v>0.72916666666666663</v>
      </c>
      <c r="H92" s="13">
        <f>VLOOKUP(B92,[4]IN!$A$2:$L$28,10,0)</f>
        <v>0.34813657407407406</v>
      </c>
      <c r="I92" s="13">
        <f>VLOOKUP(B92,[4]OUT!$A$4:$B$31,2,0)</f>
        <v>0.73569444444444443</v>
      </c>
      <c r="J92" s="12"/>
      <c r="K92" s="12"/>
      <c r="L92" s="7">
        <f t="shared" si="5"/>
        <v>0.35416666666666669</v>
      </c>
      <c r="M92" s="8">
        <f t="shared" si="6"/>
        <v>0.72916666666666663</v>
      </c>
      <c r="N92" s="9">
        <v>1</v>
      </c>
      <c r="O92" s="10">
        <f t="shared" si="7"/>
        <v>0.33333333333333326</v>
      </c>
      <c r="P92" s="7">
        <f t="shared" si="8"/>
        <v>0</v>
      </c>
      <c r="Q92" s="7">
        <f t="shared" si="9"/>
        <v>0.33333333333333326</v>
      </c>
      <c r="R92" s="12"/>
    </row>
    <row r="93" spans="1:18" x14ac:dyDescent="0.25">
      <c r="A93" s="11">
        <v>46116</v>
      </c>
      <c r="B93" s="25" t="s">
        <v>68</v>
      </c>
      <c r="C93" s="31" t="s">
        <v>69</v>
      </c>
      <c r="D93" t="s">
        <v>53</v>
      </c>
      <c r="E93" s="12" t="s">
        <v>84</v>
      </c>
      <c r="F93" s="13">
        <v>0.35416666666666669</v>
      </c>
      <c r="G93" s="13">
        <v>0.72916666666666663</v>
      </c>
      <c r="H93" s="13">
        <f>VLOOKUP(B93,[4]IN!$A$2:$L$28,10,0)</f>
        <v>0.34657407407407409</v>
      </c>
      <c r="I93" s="13">
        <f>VLOOKUP(B93,[4]OUT!$A$4:$B$31,2,0)</f>
        <v>0.72950231481481476</v>
      </c>
      <c r="J93" s="12"/>
      <c r="K93" s="12"/>
      <c r="L93" s="7">
        <f t="shared" ref="L93:L146" si="10">IF(OR(H93="",F93=""),0,IF(H93&lt;=(F93+TIME(0,15,0)),F93,CEILING(H93,TIME(0,30,0))))</f>
        <v>0.35416666666666669</v>
      </c>
      <c r="M93" s="8">
        <f t="shared" ref="M93:M146" si="11">IF(OR(I93="",G93=""),0,(FLOOR(I93,TIME(0,30,0))))</f>
        <v>0.72916666666666663</v>
      </c>
      <c r="N93" s="9">
        <v>1</v>
      </c>
      <c r="O93" s="10">
        <f t="shared" ref="O93:O146" si="12">IF((N93=1),(MOD(MIN(M93,G93)-L93,1)-TIME(1,0,0)),(MOD(MIN(M93,G93)-L93,1)))</f>
        <v>0.33333333333333326</v>
      </c>
      <c r="P93" s="7">
        <f t="shared" si="8"/>
        <v>0</v>
      </c>
      <c r="Q93" s="7">
        <f t="shared" si="9"/>
        <v>0.33333333333333326</v>
      </c>
      <c r="R93" s="12"/>
    </row>
    <row r="94" spans="1:18" x14ac:dyDescent="0.25">
      <c r="A94" s="11">
        <v>46116</v>
      </c>
      <c r="B94" s="25" t="s">
        <v>70</v>
      </c>
      <c r="C94" s="32" t="s">
        <v>71</v>
      </c>
      <c r="D94" t="s">
        <v>53</v>
      </c>
      <c r="E94" s="12" t="s">
        <v>83</v>
      </c>
      <c r="F94" s="13">
        <v>0.33333333333333331</v>
      </c>
      <c r="G94" s="13">
        <v>0.70833333333333337</v>
      </c>
      <c r="H94" s="13">
        <f>VLOOKUP(B94,[4]IN!$A$2:$L$28,10,0)</f>
        <v>0.32884259259259258</v>
      </c>
      <c r="I94" s="13">
        <f>VLOOKUP(B94,[4]OUT!$A$4:$B$31,2,0)</f>
        <v>0.70879629629629637</v>
      </c>
      <c r="J94" s="12"/>
      <c r="K94" s="12"/>
      <c r="L94" s="7">
        <f t="shared" si="10"/>
        <v>0.33333333333333331</v>
      </c>
      <c r="M94" s="8">
        <f t="shared" si="11"/>
        <v>0.70833333333333326</v>
      </c>
      <c r="N94" s="9">
        <v>1</v>
      </c>
      <c r="O94" s="10">
        <f t="shared" si="12"/>
        <v>0.33333333333333326</v>
      </c>
      <c r="P94" s="7">
        <f t="shared" si="8"/>
        <v>0</v>
      </c>
      <c r="Q94" s="7">
        <f t="shared" si="9"/>
        <v>0.33333333333333326</v>
      </c>
      <c r="R94" s="12"/>
    </row>
    <row r="95" spans="1:18" x14ac:dyDescent="0.25">
      <c r="A95" s="11">
        <v>46116</v>
      </c>
      <c r="B95" s="25" t="s">
        <v>72</v>
      </c>
      <c r="C95" s="32" t="s">
        <v>73</v>
      </c>
      <c r="D95" t="s">
        <v>53</v>
      </c>
      <c r="E95" s="12" t="s">
        <v>84</v>
      </c>
      <c r="F95" s="13">
        <v>0.35416666666666669</v>
      </c>
      <c r="G95" s="13">
        <v>0.72916666666666663</v>
      </c>
      <c r="H95" s="13">
        <f>VLOOKUP(B95,[4]IN!$A$2:$L$28,10,0)</f>
        <v>0.33730324074074075</v>
      </c>
      <c r="I95" s="13">
        <f>VLOOKUP(B95,[4]OUT!$A$4:$B$31,2,0)</f>
        <v>0.72956018518518517</v>
      </c>
      <c r="J95" s="12"/>
      <c r="K95" s="12"/>
      <c r="L95" s="7">
        <f t="shared" si="10"/>
        <v>0.35416666666666669</v>
      </c>
      <c r="M95" s="8">
        <f t="shared" si="11"/>
        <v>0.72916666666666663</v>
      </c>
      <c r="N95" s="9">
        <v>1</v>
      </c>
      <c r="O95" s="10">
        <f t="shared" si="12"/>
        <v>0.33333333333333326</v>
      </c>
      <c r="P95" s="7">
        <f t="shared" si="8"/>
        <v>0</v>
      </c>
      <c r="Q95" s="7">
        <f t="shared" si="9"/>
        <v>0.33333333333333326</v>
      </c>
      <c r="R95" s="12"/>
    </row>
    <row r="96" spans="1:18" x14ac:dyDescent="0.25">
      <c r="A96" s="11">
        <v>46116</v>
      </c>
      <c r="B96" s="25" t="s">
        <v>74</v>
      </c>
      <c r="C96" s="30" t="s">
        <v>75</v>
      </c>
      <c r="D96" t="s">
        <v>53</v>
      </c>
      <c r="E96" s="12" t="s">
        <v>82</v>
      </c>
      <c r="F96" s="13">
        <v>0.25</v>
      </c>
      <c r="G96" s="13">
        <v>0.58333333333333337</v>
      </c>
      <c r="H96" s="13">
        <f>VLOOKUP(B96,[4]IN!$A$2:$L$28,10,0)</f>
        <v>0.24489583333333331</v>
      </c>
      <c r="I96" s="13">
        <f>VLOOKUP(B96,[4]OUT!$A$4:$B$31,2,0)</f>
        <v>0.58362268518518523</v>
      </c>
      <c r="J96" s="12"/>
      <c r="K96" s="12"/>
      <c r="L96" s="7">
        <f t="shared" si="10"/>
        <v>0.25</v>
      </c>
      <c r="M96" s="8">
        <f t="shared" si="11"/>
        <v>0.58333333333333326</v>
      </c>
      <c r="N96" s="9">
        <v>0</v>
      </c>
      <c r="O96" s="10">
        <f t="shared" si="12"/>
        <v>0.33333333333333326</v>
      </c>
      <c r="P96" s="7">
        <f t="shared" si="8"/>
        <v>0</v>
      </c>
      <c r="Q96" s="7">
        <f t="shared" si="9"/>
        <v>0.33333333333333326</v>
      </c>
      <c r="R96" s="12"/>
    </row>
    <row r="97" spans="1:18" x14ac:dyDescent="0.25">
      <c r="A97" s="11">
        <v>46116</v>
      </c>
      <c r="B97" s="25" t="s">
        <v>76</v>
      </c>
      <c r="C97" s="30" t="s">
        <v>77</v>
      </c>
      <c r="D97" t="s">
        <v>53</v>
      </c>
      <c r="E97" s="12" t="s">
        <v>82</v>
      </c>
      <c r="F97" s="13">
        <v>0.25</v>
      </c>
      <c r="G97" s="13">
        <v>0.58333333333333337</v>
      </c>
      <c r="H97" s="13">
        <f>VLOOKUP(B97,[4]IN!$A$2:$L$28,10,0)</f>
        <v>0.24388888888888891</v>
      </c>
      <c r="I97" s="13">
        <f>VLOOKUP(B97,[4]OUT!$A$4:$B$31,2,0)</f>
        <v>0.58349537037037036</v>
      </c>
      <c r="J97" s="12"/>
      <c r="K97" s="12"/>
      <c r="L97" s="7">
        <f t="shared" si="10"/>
        <v>0.25</v>
      </c>
      <c r="M97" s="8">
        <f t="shared" si="11"/>
        <v>0.58333333333333326</v>
      </c>
      <c r="N97" s="9">
        <v>0</v>
      </c>
      <c r="O97" s="10">
        <f t="shared" si="12"/>
        <v>0.33333333333333326</v>
      </c>
      <c r="P97" s="7">
        <f t="shared" si="8"/>
        <v>0</v>
      </c>
      <c r="Q97" s="7">
        <f t="shared" si="9"/>
        <v>0.33333333333333326</v>
      </c>
      <c r="R97" s="12"/>
    </row>
    <row r="98" spans="1:18" x14ac:dyDescent="0.25">
      <c r="A98" s="11">
        <v>46117</v>
      </c>
      <c r="B98" s="16" t="s">
        <v>22</v>
      </c>
      <c r="C98" s="17" t="s">
        <v>23</v>
      </c>
      <c r="D98" t="s">
        <v>19</v>
      </c>
      <c r="E98" s="12" t="s">
        <v>84</v>
      </c>
      <c r="F98" s="13">
        <v>0.35416666666666669</v>
      </c>
      <c r="G98" s="13">
        <v>0.72916666666666663</v>
      </c>
      <c r="H98" s="13">
        <f>VLOOKUP(B98,[5]IN!$A$2:$L$14,10,0)</f>
        <v>0.3172800925925926</v>
      </c>
      <c r="I98" s="13">
        <f>VLOOKUP(B98,[5]OUT!$A$4:$B$19,2,0)</f>
        <v>0.79243055555555564</v>
      </c>
      <c r="J98" s="12"/>
      <c r="K98" s="12"/>
      <c r="L98" s="7">
        <f t="shared" si="10"/>
        <v>0.35416666666666669</v>
      </c>
      <c r="M98" s="8">
        <f t="shared" si="11"/>
        <v>0.79166666666666663</v>
      </c>
      <c r="N98" s="9">
        <v>1</v>
      </c>
      <c r="O98" s="10">
        <f t="shared" si="12"/>
        <v>0.33333333333333326</v>
      </c>
      <c r="P98" s="7">
        <f t="shared" si="8"/>
        <v>6.25E-2</v>
      </c>
      <c r="Q98" s="7">
        <f t="shared" si="9"/>
        <v>0.39583333333333326</v>
      </c>
      <c r="R98" s="12"/>
    </row>
    <row r="99" spans="1:18" x14ac:dyDescent="0.25">
      <c r="A99" s="11">
        <v>46117</v>
      </c>
      <c r="B99" s="18" t="s">
        <v>24</v>
      </c>
      <c r="C99" s="19" t="s">
        <v>25</v>
      </c>
      <c r="D99" t="s">
        <v>19</v>
      </c>
      <c r="E99" s="12" t="s">
        <v>82</v>
      </c>
      <c r="F99" s="13">
        <v>0.25</v>
      </c>
      <c r="G99" s="13">
        <v>0.58333333333333337</v>
      </c>
      <c r="H99" s="13">
        <f>VLOOKUP(B99,[5]IN!$A$2:$L$14,10,0)</f>
        <v>0.24552083333333333</v>
      </c>
      <c r="I99" s="13">
        <f>VLOOKUP(B99,[5]OUT!$A$4:$B$19,2,0)</f>
        <v>0.73621527777777773</v>
      </c>
      <c r="J99" s="12"/>
      <c r="K99" s="12"/>
      <c r="L99" s="7">
        <f t="shared" si="10"/>
        <v>0.25</v>
      </c>
      <c r="M99" s="8">
        <f t="shared" si="11"/>
        <v>0.72916666666666663</v>
      </c>
      <c r="N99" s="9">
        <v>0</v>
      </c>
      <c r="O99" s="10">
        <f t="shared" si="12"/>
        <v>0.33333333333333337</v>
      </c>
      <c r="P99" s="7">
        <f t="shared" si="8"/>
        <v>0.14583333333333326</v>
      </c>
      <c r="Q99" s="7">
        <f t="shared" si="9"/>
        <v>0.47916666666666663</v>
      </c>
      <c r="R99" s="12"/>
    </row>
    <row r="100" spans="1:18" x14ac:dyDescent="0.25">
      <c r="A100" s="11">
        <v>46117</v>
      </c>
      <c r="B100" s="16" t="s">
        <v>30</v>
      </c>
      <c r="C100" s="17" t="s">
        <v>31</v>
      </c>
      <c r="D100" t="s">
        <v>19</v>
      </c>
      <c r="E100" s="12" t="s">
        <v>84</v>
      </c>
      <c r="F100" s="13">
        <v>0.35416666666666669</v>
      </c>
      <c r="G100" s="13">
        <v>0.72916666666666663</v>
      </c>
      <c r="H100" s="13">
        <f>VLOOKUP(B100,[5]IN!$A$2:$L$14,10,0)</f>
        <v>0.34484953703703702</v>
      </c>
      <c r="I100" s="13">
        <f>VLOOKUP(B100,[5]OUT!$A$4:$B$19,2,0)</f>
        <v>0.75150462962962961</v>
      </c>
      <c r="J100" s="12"/>
      <c r="K100" s="12"/>
      <c r="L100" s="7">
        <f t="shared" si="10"/>
        <v>0.35416666666666669</v>
      </c>
      <c r="M100" s="8">
        <f t="shared" si="11"/>
        <v>0.75</v>
      </c>
      <c r="N100" s="9">
        <v>1</v>
      </c>
      <c r="O100" s="10">
        <f t="shared" si="12"/>
        <v>0.33333333333333326</v>
      </c>
      <c r="P100" s="7">
        <v>0</v>
      </c>
      <c r="Q100" s="7">
        <f t="shared" si="9"/>
        <v>0.33333333333333326</v>
      </c>
      <c r="R100" s="12"/>
    </row>
    <row r="101" spans="1:18" x14ac:dyDescent="0.25">
      <c r="A101" s="11">
        <v>46117</v>
      </c>
      <c r="B101" s="16" t="s">
        <v>45</v>
      </c>
      <c r="C101" s="23" t="s">
        <v>46</v>
      </c>
      <c r="D101" t="s">
        <v>42</v>
      </c>
      <c r="E101" s="12" t="s">
        <v>85</v>
      </c>
      <c r="F101" s="13">
        <v>0.58333333333333337</v>
      </c>
      <c r="G101" s="13">
        <v>0.91666666666666663</v>
      </c>
      <c r="H101" s="13">
        <f>VLOOKUP(B101,[5]IN!$A$2:$L$14,10,0)</f>
        <v>0.56971064814814809</v>
      </c>
      <c r="I101" s="13">
        <f>VLOOKUP(B101,[5]OUT!$A$4:$B$19,2,0)</f>
        <v>0.91670138888888886</v>
      </c>
      <c r="L101" s="7">
        <f t="shared" si="10"/>
        <v>0.58333333333333337</v>
      </c>
      <c r="M101" s="8">
        <f t="shared" si="11"/>
        <v>0.91666666666666663</v>
      </c>
      <c r="N101" s="9">
        <v>0</v>
      </c>
      <c r="O101" s="10">
        <f t="shared" si="12"/>
        <v>0.33333333333333326</v>
      </c>
      <c r="P101" s="7">
        <f t="shared" si="8"/>
        <v>0</v>
      </c>
      <c r="Q101" s="7">
        <f t="shared" si="9"/>
        <v>0.33333333333333326</v>
      </c>
    </row>
    <row r="102" spans="1:18" x14ac:dyDescent="0.25">
      <c r="A102" s="11">
        <v>46117</v>
      </c>
      <c r="B102" s="25" t="s">
        <v>56</v>
      </c>
      <c r="C102" s="27" t="s">
        <v>57</v>
      </c>
      <c r="D102" t="s">
        <v>53</v>
      </c>
      <c r="E102" s="12" t="s">
        <v>84</v>
      </c>
      <c r="F102" s="13">
        <v>0.35416666666666669</v>
      </c>
      <c r="G102" s="13">
        <v>0.72916666666666663</v>
      </c>
      <c r="H102" s="13">
        <f>VLOOKUP(B102,[5]IN!$A$2:$L$14,10,0)</f>
        <v>0.35997685185185185</v>
      </c>
      <c r="I102" s="13">
        <f>VLOOKUP(B102,[5]OUT!$A$4:$B$19,2,0)</f>
        <v>0.72976851851851843</v>
      </c>
      <c r="L102" s="7">
        <f t="shared" si="10"/>
        <v>0.35416666666666669</v>
      </c>
      <c r="M102" s="8">
        <f t="shared" si="11"/>
        <v>0.72916666666666663</v>
      </c>
      <c r="N102" s="9">
        <v>1</v>
      </c>
      <c r="O102" s="10">
        <f t="shared" si="12"/>
        <v>0.33333333333333326</v>
      </c>
      <c r="P102" s="7">
        <f t="shared" si="8"/>
        <v>0</v>
      </c>
      <c r="Q102" s="7">
        <f t="shared" si="9"/>
        <v>0.33333333333333326</v>
      </c>
    </row>
    <row r="103" spans="1:18" x14ac:dyDescent="0.25">
      <c r="A103" s="11">
        <v>46117</v>
      </c>
      <c r="B103" s="25" t="s">
        <v>58</v>
      </c>
      <c r="C103" s="28" t="s">
        <v>59</v>
      </c>
      <c r="D103" t="s">
        <v>53</v>
      </c>
      <c r="E103" s="12" t="s">
        <v>84</v>
      </c>
      <c r="F103" s="13">
        <v>0.35416666666666669</v>
      </c>
      <c r="G103" s="13">
        <v>0.72916666666666663</v>
      </c>
      <c r="H103" s="13">
        <f>VLOOKUP(B103,[5]IN!$A$2:$L$14,10,0)</f>
        <v>0.34038194444444447</v>
      </c>
      <c r="I103" s="13">
        <f>VLOOKUP(B103,[5]OUT!$A$4:$B$19,2,0)</f>
        <v>0.72917824074074078</v>
      </c>
      <c r="L103" s="7">
        <f t="shared" si="10"/>
        <v>0.35416666666666669</v>
      </c>
      <c r="M103" s="8">
        <f t="shared" si="11"/>
        <v>0.72916666666666663</v>
      </c>
      <c r="N103" s="9">
        <v>1</v>
      </c>
      <c r="O103" s="10">
        <f t="shared" si="12"/>
        <v>0.33333333333333326</v>
      </c>
      <c r="P103" s="7">
        <f t="shared" si="8"/>
        <v>0</v>
      </c>
      <c r="Q103" s="7">
        <f t="shared" si="9"/>
        <v>0.33333333333333326</v>
      </c>
    </row>
    <row r="104" spans="1:18" x14ac:dyDescent="0.25">
      <c r="A104" s="11">
        <v>46117</v>
      </c>
      <c r="B104" s="25" t="s">
        <v>60</v>
      </c>
      <c r="C104" s="29" t="s">
        <v>61</v>
      </c>
      <c r="D104" t="s">
        <v>53</v>
      </c>
      <c r="E104" s="12" t="s">
        <v>85</v>
      </c>
      <c r="F104" s="13">
        <v>0.58333333333333337</v>
      </c>
      <c r="G104" s="13">
        <v>0.91666666666666663</v>
      </c>
      <c r="H104" s="13">
        <f>VLOOKUP(B104,[5]IN!$A$2:$L$14,10,0)</f>
        <v>0.57285879629629632</v>
      </c>
      <c r="I104" s="13">
        <f>VLOOKUP(B104,[5]OUT!$A$4:$B$19,2,0)</f>
        <v>0.89609953703703704</v>
      </c>
      <c r="L104" s="7">
        <f t="shared" si="10"/>
        <v>0.58333333333333337</v>
      </c>
      <c r="M104" s="8">
        <f t="shared" si="11"/>
        <v>0.89583333333333326</v>
      </c>
      <c r="N104" s="9">
        <v>0</v>
      </c>
      <c r="O104" s="10">
        <f t="shared" si="12"/>
        <v>0.31249999999999989</v>
      </c>
      <c r="P104" s="7">
        <f t="shared" si="8"/>
        <v>0</v>
      </c>
      <c r="Q104" s="7">
        <f t="shared" si="9"/>
        <v>0.31249999999999989</v>
      </c>
    </row>
    <row r="105" spans="1:18" x14ac:dyDescent="0.25">
      <c r="A105" s="11">
        <v>46117</v>
      </c>
      <c r="B105" s="25" t="s">
        <v>62</v>
      </c>
      <c r="C105" s="30" t="s">
        <v>63</v>
      </c>
      <c r="D105" t="s">
        <v>53</v>
      </c>
      <c r="E105" s="12" t="s">
        <v>84</v>
      </c>
      <c r="F105" s="13">
        <v>0.35416666666666669</v>
      </c>
      <c r="G105" s="13">
        <v>0.72916666666666663</v>
      </c>
      <c r="H105" s="13">
        <f>VLOOKUP(B105,[5]IN!$A$2:$L$14,10,0)</f>
        <v>0.36584490740740744</v>
      </c>
      <c r="I105" s="13">
        <f>VLOOKUP(B105,[5]OUT!$A$4:$B$19,2,0)</f>
        <v>0.73033564814814822</v>
      </c>
      <c r="L105" s="7">
        <f t="shared" si="10"/>
        <v>0.375</v>
      </c>
      <c r="M105" s="8">
        <f t="shared" si="11"/>
        <v>0.72916666666666663</v>
      </c>
      <c r="N105" s="9">
        <v>1</v>
      </c>
      <c r="O105" s="10">
        <f t="shared" si="12"/>
        <v>0.31249999999999994</v>
      </c>
      <c r="P105" s="7">
        <f t="shared" si="8"/>
        <v>0</v>
      </c>
      <c r="Q105" s="7">
        <f t="shared" si="9"/>
        <v>0.31249999999999994</v>
      </c>
    </row>
    <row r="106" spans="1:18" x14ac:dyDescent="0.25">
      <c r="A106" s="11">
        <v>46117</v>
      </c>
      <c r="B106" s="25" t="s">
        <v>66</v>
      </c>
      <c r="C106" s="31" t="s">
        <v>67</v>
      </c>
      <c r="D106" t="s">
        <v>53</v>
      </c>
      <c r="E106" s="12" t="s">
        <v>84</v>
      </c>
      <c r="F106" s="13">
        <v>0.35416666666666669</v>
      </c>
      <c r="G106" s="13">
        <v>0.72916666666666663</v>
      </c>
      <c r="H106" s="13">
        <f>VLOOKUP(B106,[5]IN!$A$2:$L$14,10,0)</f>
        <v>0.36291666666666672</v>
      </c>
      <c r="I106" s="13">
        <f>VLOOKUP(B106,[5]OUT!$A$4:$B$19,2,0)</f>
        <v>0.72928240740740735</v>
      </c>
      <c r="L106" s="7">
        <f t="shared" si="10"/>
        <v>0.35416666666666669</v>
      </c>
      <c r="M106" s="8">
        <f t="shared" si="11"/>
        <v>0.72916666666666663</v>
      </c>
      <c r="N106" s="9">
        <v>1</v>
      </c>
      <c r="O106" s="10">
        <f t="shared" si="12"/>
        <v>0.33333333333333326</v>
      </c>
      <c r="P106" s="7">
        <f t="shared" si="8"/>
        <v>0</v>
      </c>
      <c r="Q106" s="7">
        <f t="shared" si="9"/>
        <v>0.33333333333333326</v>
      </c>
    </row>
    <row r="107" spans="1:18" x14ac:dyDescent="0.25">
      <c r="A107" s="11">
        <v>46117</v>
      </c>
      <c r="B107" s="25" t="s">
        <v>76</v>
      </c>
      <c r="C107" s="30" t="s">
        <v>77</v>
      </c>
      <c r="D107" t="s">
        <v>53</v>
      </c>
      <c r="E107" s="12" t="s">
        <v>82</v>
      </c>
      <c r="F107" s="13">
        <v>0.25</v>
      </c>
      <c r="G107" s="13">
        <v>0.58333333333333337</v>
      </c>
      <c r="H107" s="13">
        <f>VLOOKUP(B107,[5]IN!$A$2:$L$14,10,0)</f>
        <v>0.2404050925925926</v>
      </c>
      <c r="I107" s="13">
        <f>VLOOKUP(B107,[5]OUT!$A$4:$B$19,2,0)</f>
        <v>0.58348379629629632</v>
      </c>
      <c r="L107" s="7">
        <f t="shared" si="10"/>
        <v>0.25</v>
      </c>
      <c r="M107" s="8">
        <f t="shared" si="11"/>
        <v>0.58333333333333326</v>
      </c>
      <c r="N107" s="9">
        <v>0</v>
      </c>
      <c r="O107" s="10">
        <f t="shared" si="12"/>
        <v>0.33333333333333326</v>
      </c>
      <c r="P107" s="7">
        <f t="shared" si="8"/>
        <v>0</v>
      </c>
      <c r="Q107" s="7">
        <f t="shared" si="9"/>
        <v>0.33333333333333326</v>
      </c>
    </row>
    <row r="108" spans="1:18" x14ac:dyDescent="0.25">
      <c r="A108" s="34">
        <v>46118</v>
      </c>
      <c r="B108" s="14" t="s">
        <v>17</v>
      </c>
      <c r="C108" s="15" t="s">
        <v>18</v>
      </c>
      <c r="D108" t="s">
        <v>19</v>
      </c>
      <c r="E108" s="12" t="s">
        <v>84</v>
      </c>
      <c r="F108" s="13">
        <v>0.35416666666666669</v>
      </c>
      <c r="G108" s="13">
        <v>0.72916666666666663</v>
      </c>
      <c r="H108" s="13">
        <f>VLOOKUP(B108,[6]IN!$A$2:$L$27,10,0)</f>
        <v>0.33504629629629629</v>
      </c>
      <c r="I108" s="13">
        <f>VLOOKUP(B108,[6]OUT!$A$4:$B$29,2,0)</f>
        <v>0.73039351851851853</v>
      </c>
      <c r="L108" s="7">
        <f t="shared" si="10"/>
        <v>0.35416666666666669</v>
      </c>
      <c r="M108" s="8">
        <f t="shared" si="11"/>
        <v>0.72916666666666663</v>
      </c>
      <c r="N108" s="9">
        <v>1</v>
      </c>
      <c r="O108" s="10">
        <f t="shared" si="12"/>
        <v>0.33333333333333326</v>
      </c>
      <c r="P108" s="7">
        <f t="shared" si="8"/>
        <v>0</v>
      </c>
      <c r="Q108" s="7">
        <f t="shared" si="9"/>
        <v>0.33333333333333326</v>
      </c>
    </row>
    <row r="109" spans="1:18" x14ac:dyDescent="0.25">
      <c r="A109" s="34">
        <v>46118</v>
      </c>
      <c r="B109" s="16" t="s">
        <v>22</v>
      </c>
      <c r="C109" s="17" t="s">
        <v>23</v>
      </c>
      <c r="D109" t="s">
        <v>19</v>
      </c>
      <c r="E109" s="12" t="s">
        <v>82</v>
      </c>
      <c r="F109" s="13">
        <v>0.25</v>
      </c>
      <c r="G109" s="13">
        <v>0.58333333333333337</v>
      </c>
      <c r="H109" s="13">
        <f>VLOOKUP(B109,[6]IN!$A$2:$L$27,10,0)</f>
        <v>0.24569444444444444</v>
      </c>
      <c r="I109" s="13">
        <f>VLOOKUP(B109,[6]OUT!$A$4:$B$29,2,0)</f>
        <v>0.5841319444444445</v>
      </c>
      <c r="L109" s="7">
        <f t="shared" si="10"/>
        <v>0.25</v>
      </c>
      <c r="M109" s="8">
        <f t="shared" si="11"/>
        <v>0.58333333333333326</v>
      </c>
      <c r="N109" s="9">
        <v>0</v>
      </c>
      <c r="O109" s="10">
        <f t="shared" si="12"/>
        <v>0.33333333333333326</v>
      </c>
      <c r="P109" s="7">
        <f t="shared" si="8"/>
        <v>0</v>
      </c>
      <c r="Q109" s="7">
        <f t="shared" si="9"/>
        <v>0.33333333333333326</v>
      </c>
    </row>
    <row r="110" spans="1:18" x14ac:dyDescent="0.25">
      <c r="A110" s="34">
        <v>46118</v>
      </c>
      <c r="B110" s="18" t="s">
        <v>24</v>
      </c>
      <c r="C110" s="19" t="s">
        <v>25</v>
      </c>
      <c r="D110" t="s">
        <v>19</v>
      </c>
      <c r="E110" s="12" t="s">
        <v>84</v>
      </c>
      <c r="F110" s="13">
        <v>0.35416666666666669</v>
      </c>
      <c r="G110" s="13">
        <v>0.72916666666666663</v>
      </c>
      <c r="H110" s="13">
        <f>VLOOKUP(B110,[6]IN!$A$2:$L$27,10,0)</f>
        <v>0.32425925925925925</v>
      </c>
      <c r="I110" s="13">
        <f>VLOOKUP(B110,[6]OUT!$A$4:$B$29,2,0)</f>
        <v>0.79700231481481476</v>
      </c>
      <c r="L110" s="7">
        <f t="shared" si="10"/>
        <v>0.35416666666666669</v>
      </c>
      <c r="M110" s="8">
        <f t="shared" si="11"/>
        <v>0.79166666666666663</v>
      </c>
      <c r="N110" s="9">
        <v>1</v>
      </c>
      <c r="O110" s="10">
        <f t="shared" si="12"/>
        <v>0.33333333333333326</v>
      </c>
      <c r="P110" s="7">
        <f t="shared" si="8"/>
        <v>6.25E-2</v>
      </c>
      <c r="Q110" s="7">
        <f t="shared" si="9"/>
        <v>0.39583333333333326</v>
      </c>
    </row>
    <row r="111" spans="1:18" x14ac:dyDescent="0.25">
      <c r="A111" s="34">
        <v>46118</v>
      </c>
      <c r="B111" s="16" t="s">
        <v>30</v>
      </c>
      <c r="C111" s="17" t="s">
        <v>31</v>
      </c>
      <c r="D111" t="s">
        <v>19</v>
      </c>
      <c r="E111" s="12" t="s">
        <v>84</v>
      </c>
      <c r="F111" s="13">
        <v>0.35416666666666669</v>
      </c>
      <c r="G111" s="13">
        <v>0.72916666666666663</v>
      </c>
      <c r="H111" s="13">
        <f>VLOOKUP(B111,[6]IN!$A$2:$L$27,10,0)</f>
        <v>0.34369212962962964</v>
      </c>
      <c r="I111" s="13">
        <f>VLOOKUP(B111,[6]OUT!$A$4:$B$29,2,0)</f>
        <v>0.72953703703703709</v>
      </c>
      <c r="L111" s="7">
        <f t="shared" si="10"/>
        <v>0.35416666666666669</v>
      </c>
      <c r="M111" s="8">
        <f t="shared" si="11"/>
        <v>0.72916666666666663</v>
      </c>
      <c r="N111" s="9">
        <v>1</v>
      </c>
      <c r="O111" s="10">
        <f t="shared" si="12"/>
        <v>0.33333333333333326</v>
      </c>
      <c r="P111" s="7">
        <f t="shared" si="8"/>
        <v>0</v>
      </c>
      <c r="Q111" s="7">
        <f t="shared" si="9"/>
        <v>0.33333333333333326</v>
      </c>
    </row>
    <row r="112" spans="1:18" x14ac:dyDescent="0.25">
      <c r="A112" s="34">
        <v>46118</v>
      </c>
      <c r="B112" s="16" t="s">
        <v>32</v>
      </c>
      <c r="C112" s="20" t="s">
        <v>33</v>
      </c>
      <c r="D112" t="s">
        <v>19</v>
      </c>
      <c r="E112" s="12" t="s">
        <v>84</v>
      </c>
      <c r="F112" s="13">
        <v>0.35416666666666669</v>
      </c>
      <c r="G112" s="13">
        <v>0.72916666666666663</v>
      </c>
      <c r="H112" s="13">
        <f>VLOOKUP(B112,[6]IN!$A$2:$L$27,10,0)</f>
        <v>0.33298611111111115</v>
      </c>
      <c r="I112" s="13">
        <f>VLOOKUP(B112,[6]OUT!$A$4:$B$29,2,0)</f>
        <v>0.71740740740740738</v>
      </c>
      <c r="L112" s="7">
        <f t="shared" si="10"/>
        <v>0.35416666666666669</v>
      </c>
      <c r="M112" s="8">
        <f t="shared" si="11"/>
        <v>0.70833333333333326</v>
      </c>
      <c r="N112" s="9">
        <v>1</v>
      </c>
      <c r="O112" s="10">
        <f t="shared" si="12"/>
        <v>0.31249999999999989</v>
      </c>
      <c r="P112" s="7">
        <f t="shared" si="8"/>
        <v>0</v>
      </c>
      <c r="Q112" s="7">
        <f t="shared" si="9"/>
        <v>0.31249999999999989</v>
      </c>
    </row>
    <row r="113" spans="1:17" x14ac:dyDescent="0.25">
      <c r="A113" s="34">
        <v>46118</v>
      </c>
      <c r="B113" s="16" t="s">
        <v>34</v>
      </c>
      <c r="C113" s="17" t="s">
        <v>35</v>
      </c>
      <c r="D113" t="s">
        <v>19</v>
      </c>
      <c r="E113" s="12" t="s">
        <v>84</v>
      </c>
      <c r="F113" s="13">
        <v>0.35416666666666669</v>
      </c>
      <c r="G113" s="13">
        <v>0.72916666666666663</v>
      </c>
      <c r="H113" s="13">
        <f>VLOOKUP(B113,[6]IN!$A$2:$L$27,10,0)</f>
        <v>0.32716435185185183</v>
      </c>
      <c r="I113" s="13">
        <f>VLOOKUP(B113,[6]OUT!$A$4:$B$29,2,0)</f>
        <v>0.72996527777777775</v>
      </c>
      <c r="L113" s="7">
        <f t="shared" si="10"/>
        <v>0.35416666666666669</v>
      </c>
      <c r="M113" s="8">
        <f t="shared" si="11"/>
        <v>0.72916666666666663</v>
      </c>
      <c r="N113" s="9">
        <v>1</v>
      </c>
      <c r="O113" s="10">
        <f t="shared" si="12"/>
        <v>0.33333333333333326</v>
      </c>
      <c r="P113" s="7">
        <f t="shared" si="8"/>
        <v>0</v>
      </c>
      <c r="Q113" s="7">
        <f t="shared" si="9"/>
        <v>0.33333333333333326</v>
      </c>
    </row>
    <row r="114" spans="1:17" x14ac:dyDescent="0.25">
      <c r="A114" s="34">
        <v>46118</v>
      </c>
      <c r="B114" s="16" t="s">
        <v>38</v>
      </c>
      <c r="C114" s="21" t="s">
        <v>39</v>
      </c>
      <c r="D114" t="s">
        <v>19</v>
      </c>
      <c r="E114" s="12" t="s">
        <v>84</v>
      </c>
      <c r="F114" s="13">
        <v>0.35416666666666669</v>
      </c>
      <c r="G114" s="13">
        <v>0.72916666666666663</v>
      </c>
      <c r="H114" s="13">
        <f>VLOOKUP(B114,[6]IN!$A$2:$L$27,10,0)</f>
        <v>0.33521990740740742</v>
      </c>
      <c r="I114" s="13">
        <f>VLOOKUP(B114,[6]OUT!$A$4:$B$29,2,0)</f>
        <v>0.72987268518518522</v>
      </c>
      <c r="L114" s="7">
        <f t="shared" si="10"/>
        <v>0.35416666666666669</v>
      </c>
      <c r="M114" s="8">
        <f t="shared" si="11"/>
        <v>0.72916666666666663</v>
      </c>
      <c r="N114" s="9">
        <v>1</v>
      </c>
      <c r="O114" s="10">
        <f t="shared" si="12"/>
        <v>0.33333333333333326</v>
      </c>
      <c r="P114" s="7">
        <f t="shared" si="8"/>
        <v>0</v>
      </c>
      <c r="Q114" s="7">
        <f t="shared" si="9"/>
        <v>0.33333333333333326</v>
      </c>
    </row>
    <row r="115" spans="1:17" x14ac:dyDescent="0.25">
      <c r="A115" s="34">
        <v>46118</v>
      </c>
      <c r="B115" s="16" t="s">
        <v>40</v>
      </c>
      <c r="C115" s="22" t="s">
        <v>41</v>
      </c>
      <c r="D115" t="s">
        <v>42</v>
      </c>
      <c r="E115" s="12" t="s">
        <v>84</v>
      </c>
      <c r="F115" s="13">
        <v>0.35416666666666669</v>
      </c>
      <c r="G115" s="13">
        <v>0.72916666666666663</v>
      </c>
      <c r="H115" s="13">
        <f>VLOOKUP(B115,[6]IN!$A$2:$L$27,10,0)</f>
        <v>0.33848379629629632</v>
      </c>
      <c r="I115" s="13">
        <f>VLOOKUP(B115,[6]OUT!$A$4:$B$29,2,0)</f>
        <v>0.72927083333333342</v>
      </c>
      <c r="L115" s="7">
        <f t="shared" si="10"/>
        <v>0.35416666666666669</v>
      </c>
      <c r="M115" s="8">
        <f t="shared" si="11"/>
        <v>0.72916666666666663</v>
      </c>
      <c r="N115" s="9">
        <v>1</v>
      </c>
      <c r="O115" s="10">
        <f t="shared" si="12"/>
        <v>0.33333333333333326</v>
      </c>
      <c r="P115" s="7">
        <f t="shared" si="8"/>
        <v>0</v>
      </c>
      <c r="Q115" s="7">
        <f t="shared" si="9"/>
        <v>0.33333333333333326</v>
      </c>
    </row>
    <row r="116" spans="1:17" x14ac:dyDescent="0.25">
      <c r="A116" s="34">
        <v>46118</v>
      </c>
      <c r="B116" s="16" t="s">
        <v>43</v>
      </c>
      <c r="C116" s="23" t="s">
        <v>44</v>
      </c>
      <c r="D116" t="s">
        <v>42</v>
      </c>
      <c r="E116" s="12" t="s">
        <v>85</v>
      </c>
      <c r="F116" s="13">
        <v>0.58333333333333337</v>
      </c>
      <c r="G116" s="13">
        <v>0.91666666666666663</v>
      </c>
      <c r="H116" s="13">
        <f>VLOOKUP(B116,[6]IN!$A$2:$L$27,10,0)</f>
        <v>0.57666666666666666</v>
      </c>
      <c r="I116" s="13">
        <f>VLOOKUP(B116,[6]OUT!$A$4:$B$29,2,0)</f>
        <v>0.91699074074074083</v>
      </c>
      <c r="L116" s="7">
        <f t="shared" si="10"/>
        <v>0.58333333333333337</v>
      </c>
      <c r="M116" s="8">
        <f t="shared" si="11"/>
        <v>0.91666666666666663</v>
      </c>
      <c r="N116" s="9">
        <v>0</v>
      </c>
      <c r="O116" s="10">
        <f t="shared" si="12"/>
        <v>0.33333333333333326</v>
      </c>
      <c r="P116" s="7">
        <f t="shared" si="8"/>
        <v>0</v>
      </c>
      <c r="Q116" s="7">
        <f t="shared" si="9"/>
        <v>0.33333333333333326</v>
      </c>
    </row>
    <row r="117" spans="1:17" x14ac:dyDescent="0.25">
      <c r="A117" s="34">
        <v>46118</v>
      </c>
      <c r="B117" s="16" t="s">
        <v>45</v>
      </c>
      <c r="C117" s="23" t="s">
        <v>46</v>
      </c>
      <c r="D117" t="s">
        <v>42</v>
      </c>
      <c r="E117" s="12" t="s">
        <v>85</v>
      </c>
      <c r="F117" s="13">
        <v>0.58333333333333337</v>
      </c>
      <c r="G117" s="13">
        <v>0.91666666666666663</v>
      </c>
      <c r="H117" s="13">
        <f>VLOOKUP(B117,[6]IN!$A$2:$L$27,10,0)</f>
        <v>0.56652777777777774</v>
      </c>
      <c r="I117" s="13">
        <f>VLOOKUP(B117,[6]OUT!$A$4:$B$29,2,0)</f>
        <v>0.91712962962962974</v>
      </c>
      <c r="L117" s="7">
        <f t="shared" si="10"/>
        <v>0.58333333333333337</v>
      </c>
      <c r="M117" s="8">
        <f t="shared" si="11"/>
        <v>0.91666666666666663</v>
      </c>
      <c r="N117" s="9">
        <v>0</v>
      </c>
      <c r="O117" s="10">
        <f t="shared" si="12"/>
        <v>0.33333333333333326</v>
      </c>
      <c r="P117" s="7">
        <f t="shared" si="8"/>
        <v>0</v>
      </c>
      <c r="Q117" s="7">
        <f t="shared" si="9"/>
        <v>0.33333333333333326</v>
      </c>
    </row>
    <row r="118" spans="1:17" x14ac:dyDescent="0.25">
      <c r="A118" s="34">
        <v>46118</v>
      </c>
      <c r="B118" s="16" t="s">
        <v>49</v>
      </c>
      <c r="C118" s="24" t="s">
        <v>50</v>
      </c>
      <c r="D118" t="s">
        <v>42</v>
      </c>
      <c r="E118" s="12" t="s">
        <v>84</v>
      </c>
      <c r="F118" s="13">
        <v>0.35416666666666669</v>
      </c>
      <c r="G118" s="13">
        <v>0.72916666666666663</v>
      </c>
      <c r="H118" s="13">
        <f>VLOOKUP(B118,[6]IN!$A$2:$L$27,10,0)</f>
        <v>0.36155092592592591</v>
      </c>
      <c r="I118" s="13">
        <f>VLOOKUP(B118,[6]OUT!$A$4:$B$29,2,0)</f>
        <v>0.73093750000000002</v>
      </c>
      <c r="L118" s="7">
        <f t="shared" si="10"/>
        <v>0.35416666666666669</v>
      </c>
      <c r="M118" s="8">
        <f t="shared" si="11"/>
        <v>0.72916666666666663</v>
      </c>
      <c r="N118" s="9">
        <v>1</v>
      </c>
      <c r="O118" s="10">
        <f t="shared" si="12"/>
        <v>0.33333333333333326</v>
      </c>
      <c r="P118" s="7">
        <f t="shared" si="8"/>
        <v>0</v>
      </c>
      <c r="Q118" s="7">
        <f t="shared" si="9"/>
        <v>0.33333333333333326</v>
      </c>
    </row>
    <row r="119" spans="1:17" x14ac:dyDescent="0.25">
      <c r="A119" s="34">
        <v>46118</v>
      </c>
      <c r="B119" s="25" t="s">
        <v>51</v>
      </c>
      <c r="C119" s="26" t="s">
        <v>52</v>
      </c>
      <c r="D119" t="s">
        <v>53</v>
      </c>
      <c r="E119" s="12" t="s">
        <v>84</v>
      </c>
      <c r="F119" s="13">
        <v>0.35416666666666669</v>
      </c>
      <c r="G119" s="13">
        <v>0.72916666666666663</v>
      </c>
      <c r="H119" s="13">
        <f>VLOOKUP(B119,[6]IN!$A$2:$L$27,10,0)</f>
        <v>0.35150462962962964</v>
      </c>
      <c r="I119" s="13">
        <f>VLOOKUP(B119,[6]OUT!$A$4:$B$29,2,0)</f>
        <v>0.73004629629629625</v>
      </c>
      <c r="L119" s="7">
        <f t="shared" si="10"/>
        <v>0.35416666666666669</v>
      </c>
      <c r="M119" s="8">
        <f t="shared" si="11"/>
        <v>0.72916666666666663</v>
      </c>
      <c r="N119" s="9">
        <v>1</v>
      </c>
      <c r="O119" s="10">
        <f t="shared" si="12"/>
        <v>0.33333333333333326</v>
      </c>
      <c r="P119" s="7">
        <f t="shared" si="8"/>
        <v>0</v>
      </c>
      <c r="Q119" s="7">
        <f t="shared" si="9"/>
        <v>0.33333333333333326</v>
      </c>
    </row>
    <row r="120" spans="1:17" x14ac:dyDescent="0.25">
      <c r="A120" s="34">
        <v>46118</v>
      </c>
      <c r="B120" s="25" t="s">
        <v>56</v>
      </c>
      <c r="C120" s="27" t="s">
        <v>57</v>
      </c>
      <c r="D120" t="s">
        <v>53</v>
      </c>
      <c r="E120" s="12" t="s">
        <v>84</v>
      </c>
      <c r="F120" s="13">
        <v>0.35416666666666669</v>
      </c>
      <c r="G120" s="13">
        <v>0.72916666666666663</v>
      </c>
      <c r="H120" s="13">
        <f>VLOOKUP(B120,[6]IN!$A$2:$L$27,10,0)</f>
        <v>0.35568287037037033</v>
      </c>
      <c r="I120" s="13">
        <f>VLOOKUP(B120,[6]OUT!$A$4:$B$29,2,0)</f>
        <v>0.72939814814814818</v>
      </c>
      <c r="L120" s="7">
        <f t="shared" si="10"/>
        <v>0.35416666666666669</v>
      </c>
      <c r="M120" s="8">
        <f t="shared" si="11"/>
        <v>0.72916666666666663</v>
      </c>
      <c r="N120" s="9">
        <v>1</v>
      </c>
      <c r="O120" s="10">
        <f t="shared" si="12"/>
        <v>0.33333333333333326</v>
      </c>
      <c r="P120" s="7">
        <f t="shared" si="8"/>
        <v>0</v>
      </c>
      <c r="Q120" s="7">
        <f t="shared" si="9"/>
        <v>0.33333333333333326</v>
      </c>
    </row>
    <row r="121" spans="1:17" x14ac:dyDescent="0.25">
      <c r="A121" s="34">
        <v>46118</v>
      </c>
      <c r="B121" s="25" t="s">
        <v>58</v>
      </c>
      <c r="C121" s="28" t="s">
        <v>59</v>
      </c>
      <c r="D121" t="s">
        <v>53</v>
      </c>
      <c r="E121" s="12" t="s">
        <v>84</v>
      </c>
      <c r="F121" s="13">
        <v>0.35416666666666669</v>
      </c>
      <c r="G121" s="13">
        <v>0.72916666666666663</v>
      </c>
      <c r="H121" s="13">
        <f>VLOOKUP(B121,[6]IN!$A$2:$L$27,10,0)</f>
        <v>0.33682870370370371</v>
      </c>
      <c r="I121" s="13">
        <f>VLOOKUP(B121,[6]OUT!$A$4:$B$29,2,0)</f>
        <v>0.72987268518518522</v>
      </c>
      <c r="L121" s="7">
        <f t="shared" si="10"/>
        <v>0.35416666666666669</v>
      </c>
      <c r="M121" s="8">
        <f t="shared" si="11"/>
        <v>0.72916666666666663</v>
      </c>
      <c r="N121" s="9">
        <v>1</v>
      </c>
      <c r="O121" s="10">
        <f t="shared" si="12"/>
        <v>0.33333333333333326</v>
      </c>
      <c r="P121" s="7">
        <f t="shared" si="8"/>
        <v>0</v>
      </c>
      <c r="Q121" s="7">
        <f t="shared" si="9"/>
        <v>0.33333333333333326</v>
      </c>
    </row>
    <row r="122" spans="1:17" x14ac:dyDescent="0.25">
      <c r="A122" s="34">
        <v>46118</v>
      </c>
      <c r="B122" s="25" t="s">
        <v>60</v>
      </c>
      <c r="C122" s="29" t="s">
        <v>61</v>
      </c>
      <c r="D122" t="s">
        <v>53</v>
      </c>
      <c r="E122" s="12" t="s">
        <v>85</v>
      </c>
      <c r="F122" s="13">
        <v>0.58333333333333337</v>
      </c>
      <c r="G122" s="13">
        <v>0.91666666666666663</v>
      </c>
      <c r="H122" s="13">
        <f>VLOOKUP(B122,[6]IN!$A$2:$L$27,10,0)</f>
        <v>0.56171296296296302</v>
      </c>
      <c r="I122" s="13">
        <f>VLOOKUP(B122,[6]OUT!$A$4:$B$29,2,0)</f>
        <v>0.91684027777777777</v>
      </c>
      <c r="L122" s="7">
        <f t="shared" si="10"/>
        <v>0.58333333333333337</v>
      </c>
      <c r="M122" s="8">
        <f t="shared" si="11"/>
        <v>0.91666666666666663</v>
      </c>
      <c r="N122" s="9">
        <v>0</v>
      </c>
      <c r="O122" s="10">
        <f t="shared" si="12"/>
        <v>0.33333333333333326</v>
      </c>
      <c r="P122" s="7">
        <f t="shared" si="8"/>
        <v>0</v>
      </c>
      <c r="Q122" s="7">
        <f t="shared" si="9"/>
        <v>0.33333333333333326</v>
      </c>
    </row>
    <row r="123" spans="1:17" x14ac:dyDescent="0.25">
      <c r="A123" s="34">
        <v>46118</v>
      </c>
      <c r="B123" s="25" t="s">
        <v>64</v>
      </c>
      <c r="C123" s="30" t="s">
        <v>65</v>
      </c>
      <c r="D123" t="s">
        <v>53</v>
      </c>
      <c r="E123" s="12" t="s">
        <v>83</v>
      </c>
      <c r="F123" s="13">
        <v>0.33333333333333331</v>
      </c>
      <c r="G123" s="13">
        <v>0.70833333333333337</v>
      </c>
      <c r="H123" s="13">
        <f>VLOOKUP(B123,[6]IN!$A$2:$L$27,10,0)</f>
        <v>0.32819444444444446</v>
      </c>
      <c r="I123" s="13">
        <f>VLOOKUP(B123,[6]OUT!$A$4:$B$29,2,0)</f>
        <v>0.7093287037037036</v>
      </c>
      <c r="L123" s="7">
        <f t="shared" si="10"/>
        <v>0.33333333333333331</v>
      </c>
      <c r="M123" s="8">
        <f t="shared" si="11"/>
        <v>0.70833333333333326</v>
      </c>
      <c r="N123" s="9">
        <v>1</v>
      </c>
      <c r="O123" s="10">
        <f t="shared" si="12"/>
        <v>0.33333333333333326</v>
      </c>
      <c r="P123" s="7">
        <f t="shared" si="8"/>
        <v>0</v>
      </c>
      <c r="Q123" s="7">
        <f t="shared" si="9"/>
        <v>0.33333333333333326</v>
      </c>
    </row>
    <row r="124" spans="1:17" x14ac:dyDescent="0.25">
      <c r="A124" s="34">
        <v>46118</v>
      </c>
      <c r="B124" s="25" t="s">
        <v>66</v>
      </c>
      <c r="C124" s="31" t="s">
        <v>67</v>
      </c>
      <c r="D124" t="s">
        <v>53</v>
      </c>
      <c r="E124" s="12" t="s">
        <v>84</v>
      </c>
      <c r="F124" s="13">
        <v>0.35416666666666669</v>
      </c>
      <c r="G124" s="13">
        <v>0.72916666666666663</v>
      </c>
      <c r="H124" s="13">
        <f>VLOOKUP(B124,[6]IN!$A$2:$L$27,10,0)</f>
        <v>0.34940972222222227</v>
      </c>
      <c r="I124" s="13">
        <f>VLOOKUP(B124,[6]OUT!$A$4:$B$29,2,0)</f>
        <v>0.72969907407407408</v>
      </c>
      <c r="L124" s="7">
        <f t="shared" si="10"/>
        <v>0.35416666666666669</v>
      </c>
      <c r="M124" s="8">
        <f t="shared" si="11"/>
        <v>0.72916666666666663</v>
      </c>
      <c r="N124" s="9">
        <v>1</v>
      </c>
      <c r="O124" s="10">
        <f t="shared" si="12"/>
        <v>0.33333333333333326</v>
      </c>
      <c r="P124" s="7">
        <f t="shared" si="8"/>
        <v>0</v>
      </c>
      <c r="Q124" s="7">
        <f t="shared" si="9"/>
        <v>0.33333333333333326</v>
      </c>
    </row>
    <row r="125" spans="1:17" x14ac:dyDescent="0.25">
      <c r="A125" s="34">
        <v>46118</v>
      </c>
      <c r="B125" s="25" t="s">
        <v>68</v>
      </c>
      <c r="C125" s="31" t="s">
        <v>69</v>
      </c>
      <c r="D125" t="s">
        <v>53</v>
      </c>
      <c r="E125" s="12" t="s">
        <v>84</v>
      </c>
      <c r="F125" s="13">
        <v>0.35416666666666669</v>
      </c>
      <c r="G125" s="13">
        <v>0.72916666666666663</v>
      </c>
      <c r="H125" s="13">
        <f>VLOOKUP(B125,[6]IN!$A$2:$L$27,10,0)</f>
        <v>0.35930555555555554</v>
      </c>
      <c r="I125" s="13">
        <f>VLOOKUP(B125,[6]OUT!$A$4:$B$29,2,0)</f>
        <v>0.72918981481481471</v>
      </c>
      <c r="L125" s="7">
        <f t="shared" si="10"/>
        <v>0.35416666666666669</v>
      </c>
      <c r="M125" s="8">
        <f t="shared" si="11"/>
        <v>0.72916666666666663</v>
      </c>
      <c r="N125" s="9">
        <v>1</v>
      </c>
      <c r="O125" s="10">
        <f t="shared" si="12"/>
        <v>0.33333333333333326</v>
      </c>
      <c r="P125" s="7">
        <f t="shared" si="8"/>
        <v>0</v>
      </c>
      <c r="Q125" s="7">
        <f t="shared" si="9"/>
        <v>0.33333333333333326</v>
      </c>
    </row>
    <row r="126" spans="1:17" x14ac:dyDescent="0.25">
      <c r="A126" s="34">
        <v>46118</v>
      </c>
      <c r="B126" s="25" t="s">
        <v>70</v>
      </c>
      <c r="C126" s="32" t="s">
        <v>71</v>
      </c>
      <c r="D126" t="s">
        <v>53</v>
      </c>
      <c r="E126" s="12" t="s">
        <v>83</v>
      </c>
      <c r="F126" s="13">
        <v>0.33333333333333331</v>
      </c>
      <c r="G126" s="13">
        <v>0.70833333333333337</v>
      </c>
      <c r="H126" s="13">
        <f>VLOOKUP(B126,[6]IN!$A$2:$L$27,10,0)</f>
        <v>0.3518634259259259</v>
      </c>
      <c r="I126" s="13">
        <f>VLOOKUP(B126,[6]OUT!$A$4:$B$29,2,0)</f>
        <v>0.75167824074074074</v>
      </c>
      <c r="L126" s="7">
        <f t="shared" si="10"/>
        <v>0.35416666666666663</v>
      </c>
      <c r="M126" s="8">
        <f t="shared" si="11"/>
        <v>0.75</v>
      </c>
      <c r="N126" s="9">
        <v>1</v>
      </c>
      <c r="O126" s="10">
        <f t="shared" si="12"/>
        <v>0.31250000000000006</v>
      </c>
      <c r="P126" s="7">
        <f t="shared" si="8"/>
        <v>4.166666666666663E-2</v>
      </c>
      <c r="Q126" s="7">
        <f t="shared" si="9"/>
        <v>0.31250000000000006</v>
      </c>
    </row>
    <row r="127" spans="1:17" x14ac:dyDescent="0.25">
      <c r="A127" s="34">
        <v>46118</v>
      </c>
      <c r="B127" s="25" t="s">
        <v>72</v>
      </c>
      <c r="C127" s="32" t="s">
        <v>73</v>
      </c>
      <c r="D127" t="s">
        <v>53</v>
      </c>
      <c r="E127" s="12" t="s">
        <v>84</v>
      </c>
      <c r="F127" s="13">
        <v>0.35416666666666669</v>
      </c>
      <c r="G127" s="13">
        <v>0.72916666666666663</v>
      </c>
      <c r="H127" s="13">
        <f>VLOOKUP(B127,[6]IN!$A$2:$L$27,10,0)</f>
        <v>0.34840277777777778</v>
      </c>
      <c r="I127" s="13">
        <f>VLOOKUP(B127,[6]OUT!$A$4:$B$29,2,0)</f>
        <v>0.73019675925925931</v>
      </c>
      <c r="L127" s="7">
        <f t="shared" si="10"/>
        <v>0.35416666666666669</v>
      </c>
      <c r="M127" s="8">
        <f t="shared" si="11"/>
        <v>0.72916666666666663</v>
      </c>
      <c r="N127" s="9">
        <v>1</v>
      </c>
      <c r="O127" s="10">
        <f t="shared" si="12"/>
        <v>0.33333333333333326</v>
      </c>
      <c r="P127" s="7">
        <f t="shared" si="8"/>
        <v>0</v>
      </c>
      <c r="Q127" s="7">
        <f t="shared" si="9"/>
        <v>0.33333333333333326</v>
      </c>
    </row>
    <row r="128" spans="1:17" x14ac:dyDescent="0.25">
      <c r="A128" s="34">
        <v>46118</v>
      </c>
      <c r="B128" s="25" t="s">
        <v>76</v>
      </c>
      <c r="C128" s="30" t="s">
        <v>77</v>
      </c>
      <c r="D128" t="s">
        <v>53</v>
      </c>
      <c r="E128" s="12" t="s">
        <v>82</v>
      </c>
      <c r="F128" s="13">
        <v>0.25</v>
      </c>
      <c r="G128" s="13">
        <v>0.58333333333333337</v>
      </c>
      <c r="H128" s="13">
        <f>VLOOKUP(B128,[6]IN!$A$2:$L$27,10,0)</f>
        <v>0.24243055555555557</v>
      </c>
      <c r="I128" s="13">
        <f>VLOOKUP(B128,[6]OUT!$A$4:$B$29,2,0)</f>
        <v>0.58341435185185186</v>
      </c>
      <c r="L128" s="7">
        <f t="shared" si="10"/>
        <v>0.25</v>
      </c>
      <c r="M128" s="8">
        <f t="shared" si="11"/>
        <v>0.58333333333333326</v>
      </c>
      <c r="N128" s="9">
        <v>0</v>
      </c>
      <c r="O128" s="10">
        <f t="shared" si="12"/>
        <v>0.33333333333333326</v>
      </c>
      <c r="P128" s="7">
        <f t="shared" si="8"/>
        <v>0</v>
      </c>
      <c r="Q128" s="7">
        <f t="shared" si="9"/>
        <v>0.33333333333333326</v>
      </c>
    </row>
    <row r="129" spans="1:17" x14ac:dyDescent="0.25">
      <c r="A129" s="11">
        <v>46114</v>
      </c>
      <c r="B129" s="16" t="s">
        <v>20</v>
      </c>
      <c r="C129" s="17" t="s">
        <v>21</v>
      </c>
      <c r="D129" t="s">
        <v>19</v>
      </c>
      <c r="E129" s="12" t="s">
        <v>86</v>
      </c>
      <c r="F129" s="13">
        <v>0.79166666666666663</v>
      </c>
      <c r="G129" s="13">
        <v>0.125</v>
      </c>
      <c r="H129" s="13">
        <v>0.78090277777777783</v>
      </c>
      <c r="I129" s="13">
        <v>0.25172453703703707</v>
      </c>
      <c r="L129" s="7">
        <f t="shared" si="10"/>
        <v>0.79166666666666663</v>
      </c>
      <c r="M129" s="8">
        <f t="shared" si="11"/>
        <v>0.25</v>
      </c>
      <c r="N129" s="9">
        <v>0</v>
      </c>
      <c r="O129" s="10">
        <f t="shared" si="12"/>
        <v>0.33333333333333337</v>
      </c>
      <c r="P129" s="7">
        <f t="shared" si="8"/>
        <v>0.125</v>
      </c>
      <c r="Q129" s="7">
        <f t="shared" si="9"/>
        <v>0.45833333333333337</v>
      </c>
    </row>
    <row r="130" spans="1:17" x14ac:dyDescent="0.25">
      <c r="A130" s="11">
        <v>46114</v>
      </c>
      <c r="B130" s="16" t="s">
        <v>22</v>
      </c>
      <c r="C130" s="17" t="s">
        <v>23</v>
      </c>
      <c r="D130" t="s">
        <v>19</v>
      </c>
      <c r="E130" s="12" t="s">
        <v>86</v>
      </c>
      <c r="F130" s="13">
        <v>0.79166666666666663</v>
      </c>
      <c r="G130" s="13">
        <v>0.125</v>
      </c>
      <c r="H130" s="13">
        <v>0.77310185185185187</v>
      </c>
      <c r="I130" s="13">
        <v>0.25199074074074074</v>
      </c>
      <c r="L130" s="7">
        <f t="shared" si="10"/>
        <v>0.79166666666666663</v>
      </c>
      <c r="M130" s="8">
        <f t="shared" si="11"/>
        <v>0.25</v>
      </c>
      <c r="N130" s="9">
        <v>0</v>
      </c>
      <c r="O130" s="10">
        <f t="shared" si="12"/>
        <v>0.33333333333333337</v>
      </c>
      <c r="P130" s="7">
        <f t="shared" ref="P130:P146" si="13">IF(M130&gt;G130,IF(M130-G130=TIME(0,30,0),TIME(0,0,0),M130-G130),TIME(0,0,0))</f>
        <v>0.125</v>
      </c>
      <c r="Q130" s="7">
        <f t="shared" si="9"/>
        <v>0.45833333333333337</v>
      </c>
    </row>
    <row r="131" spans="1:17" x14ac:dyDescent="0.25">
      <c r="A131" s="11">
        <v>46114</v>
      </c>
      <c r="B131" s="25" t="s">
        <v>78</v>
      </c>
      <c r="C131" s="30" t="s">
        <v>79</v>
      </c>
      <c r="D131" t="s">
        <v>53</v>
      </c>
      <c r="E131" s="12" t="s">
        <v>86</v>
      </c>
      <c r="F131" s="13">
        <v>0.91666666666666663</v>
      </c>
      <c r="G131" s="13">
        <v>0.25</v>
      </c>
      <c r="H131" s="13">
        <v>0.8957060185185185</v>
      </c>
      <c r="I131" s="13">
        <v>0.25008101851851855</v>
      </c>
      <c r="L131" s="7">
        <f t="shared" si="10"/>
        <v>0.91666666666666663</v>
      </c>
      <c r="M131" s="8">
        <f t="shared" si="11"/>
        <v>0.25</v>
      </c>
      <c r="N131" s="9">
        <v>0</v>
      </c>
      <c r="O131" s="10">
        <f t="shared" si="12"/>
        <v>0.33333333333333337</v>
      </c>
      <c r="P131" s="7">
        <f t="shared" si="13"/>
        <v>0</v>
      </c>
      <c r="Q131" s="7">
        <f t="shared" ref="Q131:Q146" si="14">IF(OR(D131="HS"),P131+O131,O131)</f>
        <v>0.33333333333333337</v>
      </c>
    </row>
    <row r="132" spans="1:17" x14ac:dyDescent="0.25">
      <c r="A132" s="11">
        <v>46114</v>
      </c>
      <c r="B132" s="25" t="s">
        <v>80</v>
      </c>
      <c r="C132" s="27" t="s">
        <v>81</v>
      </c>
      <c r="D132" t="s">
        <v>53</v>
      </c>
      <c r="E132" s="12" t="s">
        <v>86</v>
      </c>
      <c r="F132" s="13">
        <v>0.91666666666666663</v>
      </c>
      <c r="G132" s="13">
        <v>0.25</v>
      </c>
      <c r="H132" s="13">
        <v>0.90645833333333325</v>
      </c>
      <c r="I132" s="13">
        <v>0.25574074074074077</v>
      </c>
      <c r="L132" s="7">
        <f t="shared" si="10"/>
        <v>0.91666666666666663</v>
      </c>
      <c r="M132" s="8">
        <f t="shared" si="11"/>
        <v>0.25</v>
      </c>
      <c r="N132" s="9">
        <v>0</v>
      </c>
      <c r="O132" s="10">
        <f t="shared" si="12"/>
        <v>0.33333333333333337</v>
      </c>
      <c r="P132" s="7">
        <f t="shared" si="13"/>
        <v>0</v>
      </c>
      <c r="Q132" s="7">
        <f t="shared" si="14"/>
        <v>0.33333333333333337</v>
      </c>
    </row>
    <row r="133" spans="1:17" x14ac:dyDescent="0.25">
      <c r="A133" s="11">
        <v>46115</v>
      </c>
      <c r="B133" s="16" t="s">
        <v>20</v>
      </c>
      <c r="C133" s="17" t="s">
        <v>21</v>
      </c>
      <c r="D133" t="s">
        <v>19</v>
      </c>
      <c r="E133" s="12" t="s">
        <v>86</v>
      </c>
      <c r="F133" s="13">
        <v>0.79166666666666663</v>
      </c>
      <c r="G133" s="13">
        <v>0.125</v>
      </c>
      <c r="H133" s="13">
        <v>0.78581018518518519</v>
      </c>
      <c r="I133" s="13">
        <v>0.25337962962962962</v>
      </c>
      <c r="L133" s="7">
        <f t="shared" si="10"/>
        <v>0.79166666666666663</v>
      </c>
      <c r="M133" s="8">
        <f t="shared" si="11"/>
        <v>0.25</v>
      </c>
      <c r="N133" s="9">
        <v>0</v>
      </c>
      <c r="O133" s="10">
        <f t="shared" si="12"/>
        <v>0.33333333333333337</v>
      </c>
      <c r="P133" s="7">
        <f t="shared" si="13"/>
        <v>0.125</v>
      </c>
      <c r="Q133" s="7">
        <f t="shared" si="14"/>
        <v>0.45833333333333337</v>
      </c>
    </row>
    <row r="134" spans="1:17" x14ac:dyDescent="0.25">
      <c r="A134" s="11">
        <v>46115</v>
      </c>
      <c r="B134" s="16" t="s">
        <v>28</v>
      </c>
      <c r="C134" s="17" t="s">
        <v>29</v>
      </c>
      <c r="D134" t="s">
        <v>19</v>
      </c>
      <c r="E134" s="12" t="s">
        <v>86</v>
      </c>
      <c r="F134" s="13">
        <v>0.79166666666666663</v>
      </c>
      <c r="G134" s="13">
        <v>0.125</v>
      </c>
      <c r="H134" s="13">
        <v>0.78878472222222218</v>
      </c>
      <c r="I134" s="13">
        <v>0.26119212962962962</v>
      </c>
      <c r="L134" s="7">
        <f t="shared" si="10"/>
        <v>0.79166666666666663</v>
      </c>
      <c r="M134" s="8">
        <f t="shared" si="11"/>
        <v>0.25</v>
      </c>
      <c r="N134" s="9">
        <v>0</v>
      </c>
      <c r="O134" s="10">
        <f t="shared" si="12"/>
        <v>0.33333333333333337</v>
      </c>
      <c r="P134" s="7">
        <f t="shared" si="13"/>
        <v>0.125</v>
      </c>
      <c r="Q134" s="7">
        <f t="shared" si="14"/>
        <v>0.45833333333333337</v>
      </c>
    </row>
    <row r="135" spans="1:17" x14ac:dyDescent="0.25">
      <c r="A135" s="11">
        <v>46115</v>
      </c>
      <c r="B135" s="25" t="s">
        <v>80</v>
      </c>
      <c r="C135" s="27" t="s">
        <v>81</v>
      </c>
      <c r="D135" t="s">
        <v>53</v>
      </c>
      <c r="E135" s="12" t="s">
        <v>86</v>
      </c>
      <c r="F135" s="13">
        <v>0.91666666666666663</v>
      </c>
      <c r="G135" s="13">
        <v>0.25</v>
      </c>
      <c r="H135" s="13">
        <v>0.90587962962962953</v>
      </c>
      <c r="I135" s="13">
        <v>0.25100694444444444</v>
      </c>
      <c r="L135" s="7">
        <f t="shared" si="10"/>
        <v>0.91666666666666663</v>
      </c>
      <c r="M135" s="8">
        <f t="shared" si="11"/>
        <v>0.25</v>
      </c>
      <c r="N135" s="9">
        <v>0</v>
      </c>
      <c r="O135" s="10">
        <f t="shared" si="12"/>
        <v>0.33333333333333337</v>
      </c>
      <c r="P135" s="7">
        <f t="shared" si="13"/>
        <v>0</v>
      </c>
      <c r="Q135" s="7">
        <f t="shared" si="14"/>
        <v>0.33333333333333337</v>
      </c>
    </row>
    <row r="136" spans="1:17" x14ac:dyDescent="0.25">
      <c r="A136" s="11">
        <v>46116</v>
      </c>
      <c r="B136" s="16" t="s">
        <v>20</v>
      </c>
      <c r="C136" s="17" t="s">
        <v>21</v>
      </c>
      <c r="D136" t="s">
        <v>19</v>
      </c>
      <c r="E136" s="12" t="s">
        <v>86</v>
      </c>
      <c r="F136" s="13">
        <v>0.79166666666666663</v>
      </c>
      <c r="G136" s="13">
        <v>0.125</v>
      </c>
      <c r="H136" s="13">
        <v>0.79134259259259254</v>
      </c>
      <c r="I136" s="13">
        <v>0.25071759259259258</v>
      </c>
      <c r="L136" s="7">
        <f t="shared" si="10"/>
        <v>0.79166666666666663</v>
      </c>
      <c r="M136" s="8">
        <f t="shared" si="11"/>
        <v>0.25</v>
      </c>
      <c r="N136" s="9">
        <v>0</v>
      </c>
      <c r="O136" s="10">
        <f t="shared" si="12"/>
        <v>0.33333333333333337</v>
      </c>
      <c r="P136" s="7">
        <f t="shared" si="13"/>
        <v>0.125</v>
      </c>
      <c r="Q136" s="7">
        <f t="shared" si="14"/>
        <v>0.45833333333333337</v>
      </c>
    </row>
    <row r="137" spans="1:17" x14ac:dyDescent="0.25">
      <c r="A137" s="11">
        <v>46116</v>
      </c>
      <c r="B137" s="16" t="s">
        <v>28</v>
      </c>
      <c r="C137" s="17" t="s">
        <v>29</v>
      </c>
      <c r="D137" t="s">
        <v>19</v>
      </c>
      <c r="E137" s="12" t="s">
        <v>86</v>
      </c>
      <c r="F137" s="13">
        <v>0.79166666666666663</v>
      </c>
      <c r="G137" s="13">
        <v>0.125</v>
      </c>
      <c r="H137" s="13">
        <v>0.7853472222222222</v>
      </c>
      <c r="I137" s="13">
        <v>0.2610763888888889</v>
      </c>
      <c r="L137" s="7">
        <f t="shared" si="10"/>
        <v>0.79166666666666663</v>
      </c>
      <c r="M137" s="8">
        <f t="shared" si="11"/>
        <v>0.25</v>
      </c>
      <c r="N137" s="9">
        <v>0</v>
      </c>
      <c r="O137" s="10">
        <f t="shared" si="12"/>
        <v>0.33333333333333337</v>
      </c>
      <c r="P137" s="7">
        <f t="shared" si="13"/>
        <v>0.125</v>
      </c>
      <c r="Q137" s="7">
        <f t="shared" si="14"/>
        <v>0.45833333333333337</v>
      </c>
    </row>
    <row r="138" spans="1:17" x14ac:dyDescent="0.25">
      <c r="A138" s="11">
        <v>46116</v>
      </c>
      <c r="B138" s="25" t="s">
        <v>78</v>
      </c>
      <c r="C138" s="30" t="s">
        <v>79</v>
      </c>
      <c r="D138" t="s">
        <v>53</v>
      </c>
      <c r="E138" s="12" t="s">
        <v>86</v>
      </c>
      <c r="F138" s="13">
        <v>0.91666666666666663</v>
      </c>
      <c r="G138" s="13">
        <v>0.25</v>
      </c>
      <c r="H138" s="13">
        <v>0.89849537037037042</v>
      </c>
      <c r="I138" s="13">
        <v>0.26099537037037041</v>
      </c>
      <c r="L138" s="7">
        <f t="shared" si="10"/>
        <v>0.91666666666666663</v>
      </c>
      <c r="M138" s="8">
        <f t="shared" si="11"/>
        <v>0.25</v>
      </c>
      <c r="N138" s="9">
        <v>0</v>
      </c>
      <c r="O138" s="10">
        <f t="shared" si="12"/>
        <v>0.33333333333333337</v>
      </c>
      <c r="P138" s="7">
        <f t="shared" si="13"/>
        <v>0</v>
      </c>
      <c r="Q138" s="7">
        <f t="shared" si="14"/>
        <v>0.33333333333333337</v>
      </c>
    </row>
    <row r="139" spans="1:17" x14ac:dyDescent="0.25">
      <c r="A139" s="11">
        <v>46116</v>
      </c>
      <c r="B139" s="25" t="s">
        <v>80</v>
      </c>
      <c r="C139" s="27" t="s">
        <v>81</v>
      </c>
      <c r="D139" t="s">
        <v>53</v>
      </c>
      <c r="E139" s="12" t="s">
        <v>86</v>
      </c>
      <c r="F139" s="13">
        <v>0.91666666666666663</v>
      </c>
      <c r="G139" s="13">
        <v>0.25</v>
      </c>
      <c r="H139" s="13">
        <v>0.90651620370370367</v>
      </c>
      <c r="I139" s="13">
        <v>0.25126157407407407</v>
      </c>
      <c r="L139" s="7">
        <f t="shared" si="10"/>
        <v>0.91666666666666663</v>
      </c>
      <c r="M139" s="8">
        <f t="shared" si="11"/>
        <v>0.25</v>
      </c>
      <c r="N139" s="9">
        <v>0</v>
      </c>
      <c r="O139" s="10">
        <f t="shared" si="12"/>
        <v>0.33333333333333337</v>
      </c>
      <c r="P139" s="7">
        <f t="shared" si="13"/>
        <v>0</v>
      </c>
      <c r="Q139" s="7">
        <f t="shared" si="14"/>
        <v>0.33333333333333337</v>
      </c>
    </row>
    <row r="140" spans="1:17" x14ac:dyDescent="0.25">
      <c r="A140" s="11">
        <v>46117</v>
      </c>
      <c r="B140" s="16" t="s">
        <v>20</v>
      </c>
      <c r="C140" s="17" t="s">
        <v>21</v>
      </c>
      <c r="D140" t="s">
        <v>19</v>
      </c>
      <c r="E140" s="12" t="s">
        <v>86</v>
      </c>
      <c r="F140" s="13">
        <v>0.79166666666666663</v>
      </c>
      <c r="G140" s="13">
        <v>0.125</v>
      </c>
      <c r="H140" s="13">
        <v>0.7912731481481482</v>
      </c>
      <c r="I140" s="13">
        <v>0.25195601851851851</v>
      </c>
      <c r="L140" s="7">
        <f t="shared" si="10"/>
        <v>0.79166666666666663</v>
      </c>
      <c r="M140" s="8">
        <f t="shared" si="11"/>
        <v>0.25</v>
      </c>
      <c r="N140" s="9">
        <v>0</v>
      </c>
      <c r="O140" s="10">
        <f t="shared" si="12"/>
        <v>0.33333333333333337</v>
      </c>
      <c r="P140" s="7">
        <f t="shared" si="13"/>
        <v>0.125</v>
      </c>
      <c r="Q140" s="7">
        <f t="shared" si="14"/>
        <v>0.45833333333333337</v>
      </c>
    </row>
    <row r="141" spans="1:17" x14ac:dyDescent="0.25">
      <c r="A141" s="11">
        <v>46117</v>
      </c>
      <c r="B141" s="25" t="s">
        <v>78</v>
      </c>
      <c r="C141" s="30" t="s">
        <v>79</v>
      </c>
      <c r="D141" t="s">
        <v>53</v>
      </c>
      <c r="E141" s="12" t="s">
        <v>86</v>
      </c>
      <c r="F141" s="13">
        <v>0.91666666666666663</v>
      </c>
      <c r="G141" s="13">
        <v>0.25</v>
      </c>
      <c r="H141" s="13">
        <v>0.90530092592592604</v>
      </c>
      <c r="I141" s="13">
        <v>0.25015046296296295</v>
      </c>
      <c r="L141" s="7">
        <f t="shared" si="10"/>
        <v>0.91666666666666663</v>
      </c>
      <c r="M141" s="8">
        <f t="shared" si="11"/>
        <v>0.25</v>
      </c>
      <c r="N141" s="9">
        <v>0</v>
      </c>
      <c r="O141" s="10">
        <f t="shared" si="12"/>
        <v>0.33333333333333337</v>
      </c>
      <c r="P141" s="7">
        <f t="shared" si="13"/>
        <v>0</v>
      </c>
      <c r="Q141" s="7">
        <f t="shared" si="14"/>
        <v>0.33333333333333337</v>
      </c>
    </row>
    <row r="142" spans="1:17" x14ac:dyDescent="0.25">
      <c r="A142" s="11">
        <v>46117</v>
      </c>
      <c r="B142" s="25" t="s">
        <v>80</v>
      </c>
      <c r="C142" s="27" t="s">
        <v>81</v>
      </c>
      <c r="D142" t="s">
        <v>53</v>
      </c>
      <c r="E142" s="12" t="s">
        <v>86</v>
      </c>
      <c r="F142" s="13">
        <v>0.91666666666666663</v>
      </c>
      <c r="G142" s="13">
        <v>0.25</v>
      </c>
      <c r="H142" s="13">
        <v>0.91576388888888882</v>
      </c>
      <c r="I142" s="13">
        <v>0.25093749999999998</v>
      </c>
      <c r="L142" s="7">
        <f t="shared" si="10"/>
        <v>0.91666666666666663</v>
      </c>
      <c r="M142" s="8">
        <f t="shared" si="11"/>
        <v>0.25</v>
      </c>
      <c r="N142" s="9">
        <v>0</v>
      </c>
      <c r="O142" s="10">
        <f t="shared" si="12"/>
        <v>0.33333333333333337</v>
      </c>
      <c r="P142" s="7">
        <f t="shared" si="13"/>
        <v>0</v>
      </c>
      <c r="Q142" s="7">
        <f t="shared" si="14"/>
        <v>0.33333333333333337</v>
      </c>
    </row>
    <row r="143" spans="1:17" x14ac:dyDescent="0.25">
      <c r="A143" s="36">
        <v>46118</v>
      </c>
      <c r="B143" s="16" t="s">
        <v>20</v>
      </c>
      <c r="C143" s="17" t="s">
        <v>21</v>
      </c>
      <c r="D143" s="37" t="s">
        <v>19</v>
      </c>
      <c r="E143" s="12" t="s">
        <v>86</v>
      </c>
      <c r="F143" s="13">
        <v>0.79166666666666663</v>
      </c>
      <c r="G143" s="13">
        <v>0.125</v>
      </c>
      <c r="H143" s="13">
        <v>0.77837962962962959</v>
      </c>
      <c r="I143" s="13">
        <v>0.25490740740740742</v>
      </c>
      <c r="L143" s="7">
        <f t="shared" si="10"/>
        <v>0.79166666666666663</v>
      </c>
      <c r="M143" s="8">
        <f t="shared" si="11"/>
        <v>0.25</v>
      </c>
      <c r="N143" s="9">
        <v>0</v>
      </c>
      <c r="O143" s="10">
        <f t="shared" si="12"/>
        <v>0.33333333333333337</v>
      </c>
      <c r="P143" s="7">
        <f t="shared" si="13"/>
        <v>0.125</v>
      </c>
      <c r="Q143" s="7">
        <f t="shared" si="14"/>
        <v>0.45833333333333337</v>
      </c>
    </row>
    <row r="144" spans="1:17" x14ac:dyDescent="0.25">
      <c r="A144" s="36">
        <v>46118</v>
      </c>
      <c r="B144" s="16" t="s">
        <v>26</v>
      </c>
      <c r="C144" s="17" t="s">
        <v>27</v>
      </c>
      <c r="D144" s="37" t="s">
        <v>19</v>
      </c>
      <c r="E144" s="12" t="s">
        <v>86</v>
      </c>
      <c r="F144" s="13">
        <v>0.79166666666666663</v>
      </c>
      <c r="G144" s="13">
        <v>0.125</v>
      </c>
      <c r="H144" s="13">
        <v>0.7884606481481482</v>
      </c>
      <c r="I144" s="13">
        <v>0.2509953703703704</v>
      </c>
      <c r="L144" s="7">
        <f t="shared" si="10"/>
        <v>0.79166666666666663</v>
      </c>
      <c r="M144" s="8">
        <f t="shared" si="11"/>
        <v>0.25</v>
      </c>
      <c r="N144" s="9">
        <v>0</v>
      </c>
      <c r="O144" s="10">
        <f t="shared" si="12"/>
        <v>0.33333333333333337</v>
      </c>
      <c r="P144" s="7">
        <f t="shared" si="13"/>
        <v>0.125</v>
      </c>
      <c r="Q144" s="7">
        <f t="shared" si="14"/>
        <v>0.45833333333333337</v>
      </c>
    </row>
    <row r="145" spans="1:17" x14ac:dyDescent="0.25">
      <c r="A145" s="36">
        <v>46118</v>
      </c>
      <c r="B145" s="25" t="s">
        <v>74</v>
      </c>
      <c r="C145" s="30" t="s">
        <v>75</v>
      </c>
      <c r="D145" s="37" t="s">
        <v>53</v>
      </c>
      <c r="E145" s="12" t="s">
        <v>86</v>
      </c>
      <c r="F145" s="13">
        <v>0.91666666666666663</v>
      </c>
      <c r="G145" s="13">
        <v>0.25</v>
      </c>
      <c r="H145" s="13">
        <v>0.90324074074074068</v>
      </c>
      <c r="I145" s="13">
        <v>0.25202546296296297</v>
      </c>
      <c r="L145" s="7">
        <f t="shared" si="10"/>
        <v>0.91666666666666663</v>
      </c>
      <c r="M145" s="8">
        <f t="shared" si="11"/>
        <v>0.25</v>
      </c>
      <c r="N145" s="9">
        <v>0</v>
      </c>
      <c r="O145" s="10">
        <f t="shared" si="12"/>
        <v>0.33333333333333337</v>
      </c>
      <c r="P145" s="7">
        <f t="shared" si="13"/>
        <v>0</v>
      </c>
      <c r="Q145" s="7">
        <f t="shared" si="14"/>
        <v>0.33333333333333337</v>
      </c>
    </row>
    <row r="146" spans="1:17" x14ac:dyDescent="0.25">
      <c r="A146" s="36">
        <v>46118</v>
      </c>
      <c r="B146" s="25" t="s">
        <v>80</v>
      </c>
      <c r="C146" s="27" t="s">
        <v>81</v>
      </c>
      <c r="D146" s="37" t="s">
        <v>53</v>
      </c>
      <c r="E146" s="12" t="s">
        <v>86</v>
      </c>
      <c r="F146" s="13">
        <v>0.91666666666666663</v>
      </c>
      <c r="G146" s="13">
        <v>0.25</v>
      </c>
      <c r="H146" s="13">
        <v>0.90368055555555549</v>
      </c>
      <c r="I146" s="13">
        <v>0.25185185185185183</v>
      </c>
      <c r="L146" s="7">
        <f t="shared" si="10"/>
        <v>0.91666666666666663</v>
      </c>
      <c r="M146" s="8">
        <f t="shared" si="11"/>
        <v>0.25</v>
      </c>
      <c r="N146" s="9">
        <v>0</v>
      </c>
      <c r="O146" s="10">
        <f t="shared" si="12"/>
        <v>0.33333333333333337</v>
      </c>
      <c r="P146" s="7">
        <f t="shared" si="13"/>
        <v>0</v>
      </c>
      <c r="Q146" s="7">
        <f t="shared" si="14"/>
        <v>0.33333333333333337</v>
      </c>
    </row>
    <row r="147" spans="1:17" x14ac:dyDescent="0.25">
      <c r="A147" s="34">
        <v>46119</v>
      </c>
      <c r="B147" s="14" t="s">
        <v>17</v>
      </c>
      <c r="C147" s="15" t="s">
        <v>18</v>
      </c>
      <c r="D147" t="s">
        <v>19</v>
      </c>
      <c r="H147" s="35">
        <f>VLOOKUP(B147,[7]IN!$A$1:$M$28,10,0)</f>
        <v>0.33578703703703705</v>
      </c>
      <c r="I147" s="35">
        <f>VLOOKUP(B147,[7]OUT!$A$3:$B$32,2,0)</f>
        <v>0.72957175925925932</v>
      </c>
    </row>
    <row r="148" spans="1:17" x14ac:dyDescent="0.25">
      <c r="A148" s="34">
        <v>46119</v>
      </c>
      <c r="B148" s="16" t="s">
        <v>22</v>
      </c>
      <c r="C148" s="17" t="s">
        <v>23</v>
      </c>
      <c r="D148" t="s">
        <v>19</v>
      </c>
      <c r="H148" s="35">
        <f>VLOOKUP(B148,[7]IN!$A$1:$M$28,10,0)</f>
        <v>0.32740740740740742</v>
      </c>
      <c r="I148" s="35">
        <f>VLOOKUP(B148,[7]OUT!$A$3:$B$32,2,0)</f>
        <v>0.79251157407407413</v>
      </c>
    </row>
    <row r="149" spans="1:17" x14ac:dyDescent="0.25">
      <c r="A149" s="34">
        <v>46119</v>
      </c>
      <c r="B149" s="18" t="s">
        <v>24</v>
      </c>
      <c r="C149" s="19" t="s">
        <v>25</v>
      </c>
      <c r="D149" t="s">
        <v>19</v>
      </c>
      <c r="H149" s="35">
        <f>VLOOKUP(B149,[7]IN!$A$1:$M$28,10,0)</f>
        <v>0.24501157407407406</v>
      </c>
      <c r="I149" s="35">
        <f>VLOOKUP(B149,[7]OUT!$A$3:$B$32,2,0)</f>
        <v>0.70865740740740746</v>
      </c>
    </row>
    <row r="150" spans="1:17" x14ac:dyDescent="0.25">
      <c r="A150" s="34">
        <v>46119</v>
      </c>
      <c r="B150" s="16" t="s">
        <v>28</v>
      </c>
      <c r="C150" s="17" t="s">
        <v>29</v>
      </c>
      <c r="D150" t="s">
        <v>19</v>
      </c>
      <c r="H150" s="35">
        <f>VLOOKUP(B150,[7]IN!$A$1:$M$28,10,0)</f>
        <v>0.32879629629629631</v>
      </c>
      <c r="I150" s="35">
        <f>VLOOKUP(B150,[7]OUT!$A$3:$B$32,2,0)</f>
        <v>0.79172453703703705</v>
      </c>
    </row>
    <row r="151" spans="1:17" x14ac:dyDescent="0.25">
      <c r="A151" s="34">
        <v>46119</v>
      </c>
      <c r="B151" s="16" t="s">
        <v>30</v>
      </c>
      <c r="C151" s="17" t="s">
        <v>31</v>
      </c>
      <c r="D151" t="s">
        <v>19</v>
      </c>
      <c r="H151" s="35">
        <f>VLOOKUP(B151,[7]IN!$A$1:$M$28,10,0)</f>
        <v>0.35401620370370374</v>
      </c>
      <c r="I151" s="35">
        <f>VLOOKUP(B151,[7]OUT!$A$3:$B$32,2,0)</f>
        <v>0.73141203703703705</v>
      </c>
    </row>
    <row r="152" spans="1:17" x14ac:dyDescent="0.25">
      <c r="A152" s="34">
        <v>46119</v>
      </c>
      <c r="B152" s="16" t="s">
        <v>32</v>
      </c>
      <c r="C152" s="20" t="s">
        <v>33</v>
      </c>
      <c r="D152" t="s">
        <v>19</v>
      </c>
      <c r="H152" s="35">
        <f>VLOOKUP(B152,[7]IN!$A$1:$M$28,10,0)</f>
        <v>0.35564814814814816</v>
      </c>
      <c r="I152" s="35">
        <f>VLOOKUP(B152,[7]OUT!$A$3:$B$32,2,0)</f>
        <v>0.72936342592592596</v>
      </c>
    </row>
    <row r="153" spans="1:17" x14ac:dyDescent="0.25">
      <c r="A153" s="34">
        <v>46119</v>
      </c>
      <c r="B153" s="16" t="s">
        <v>34</v>
      </c>
      <c r="C153" s="17" t="s">
        <v>35</v>
      </c>
      <c r="D153" t="s">
        <v>19</v>
      </c>
      <c r="H153" s="35">
        <f>VLOOKUP(B153,[7]IN!$A$1:$M$28,10,0)</f>
        <v>0.33606481481481482</v>
      </c>
      <c r="I153" s="35">
        <f>VLOOKUP(B153,[7]OUT!$A$3:$B$32,2,0)</f>
        <v>0.72981481481481481</v>
      </c>
    </row>
    <row r="154" spans="1:17" x14ac:dyDescent="0.25">
      <c r="A154" s="34">
        <v>46119</v>
      </c>
      <c r="B154" s="16" t="s">
        <v>36</v>
      </c>
      <c r="C154" s="21" t="s">
        <v>37</v>
      </c>
      <c r="D154" t="s">
        <v>19</v>
      </c>
      <c r="H154" s="35">
        <f>VLOOKUP(B154,[7]IN!$A$1:$M$28,10,0)</f>
        <v>0.33589120370370368</v>
      </c>
      <c r="I154" s="35">
        <f>VLOOKUP(B154,[7]OUT!$A$3:$B$32,2,0)</f>
        <v>0.72964120370370367</v>
      </c>
    </row>
    <row r="155" spans="1:17" x14ac:dyDescent="0.25">
      <c r="A155" s="34">
        <v>46119</v>
      </c>
      <c r="B155" s="16" t="s">
        <v>38</v>
      </c>
      <c r="C155" s="21" t="s">
        <v>39</v>
      </c>
      <c r="D155" t="s">
        <v>19</v>
      </c>
      <c r="H155" s="35">
        <f>VLOOKUP(B155,[7]IN!$A$1:$M$28,10,0)</f>
        <v>0.33567129629629627</v>
      </c>
      <c r="I155" s="35">
        <f>VLOOKUP(B155,[7]OUT!$A$3:$B$32,2,0)</f>
        <v>0.72946759259259253</v>
      </c>
    </row>
    <row r="156" spans="1:17" x14ac:dyDescent="0.25">
      <c r="A156" s="34">
        <v>46119</v>
      </c>
      <c r="B156" s="16" t="s">
        <v>40</v>
      </c>
      <c r="C156" s="22" t="s">
        <v>41</v>
      </c>
      <c r="D156" t="s">
        <v>42</v>
      </c>
      <c r="H156" s="35">
        <f>VLOOKUP(B156,[7]IN!$A$1:$M$28,10,0)</f>
        <v>0.35049768518518515</v>
      </c>
      <c r="I156" s="35">
        <f>VLOOKUP(B156,[7]OUT!$A$3:$B$32,2,0)</f>
        <v>0.72996527777777775</v>
      </c>
    </row>
    <row r="157" spans="1:17" x14ac:dyDescent="0.25">
      <c r="A157" s="34">
        <v>46119</v>
      </c>
      <c r="B157" s="16" t="s">
        <v>43</v>
      </c>
      <c r="C157" s="23" t="s">
        <v>44</v>
      </c>
      <c r="D157" t="s">
        <v>42</v>
      </c>
      <c r="H157" s="35">
        <f>VLOOKUP(B157,[7]IN!$A$1:$M$28,10,0)</f>
        <v>0.57994212962962965</v>
      </c>
      <c r="I157" s="35">
        <f>VLOOKUP(B157,[7]OUT!$A$3:$B$32,2,0)</f>
        <v>0.91701388888888891</v>
      </c>
    </row>
    <row r="158" spans="1:17" x14ac:dyDescent="0.25">
      <c r="A158" s="34">
        <v>46119</v>
      </c>
      <c r="B158" s="16" t="s">
        <v>45</v>
      </c>
      <c r="C158" s="23" t="s">
        <v>46</v>
      </c>
      <c r="D158" t="s">
        <v>42</v>
      </c>
      <c r="H158" s="35">
        <f>VLOOKUP(B158,[7]IN!$A$1:$M$28,10,0)</f>
        <v>0.577662037037037</v>
      </c>
      <c r="I158" s="35">
        <f>VLOOKUP(B158,[7]OUT!$A$3:$B$32,2,0)</f>
        <v>0.91730324074074077</v>
      </c>
    </row>
    <row r="159" spans="1:17" x14ac:dyDescent="0.25">
      <c r="A159" s="34">
        <v>46119</v>
      </c>
      <c r="B159" s="16" t="s">
        <v>49</v>
      </c>
      <c r="C159" s="24" t="s">
        <v>50</v>
      </c>
      <c r="D159" t="s">
        <v>42</v>
      </c>
      <c r="H159" s="35">
        <f>VLOOKUP(B159,[7]IN!$A$1:$M$28,10,0)</f>
        <v>0.36274305555555553</v>
      </c>
      <c r="I159" s="35">
        <f>VLOOKUP(B159,[7]OUT!$A$3:$B$32,2,0)</f>
        <v>0.72954861111111102</v>
      </c>
    </row>
    <row r="160" spans="1:17" x14ac:dyDescent="0.25">
      <c r="A160" s="34">
        <v>46119</v>
      </c>
      <c r="B160" s="25" t="s">
        <v>51</v>
      </c>
      <c r="C160" s="26" t="s">
        <v>52</v>
      </c>
      <c r="D160" t="s">
        <v>53</v>
      </c>
      <c r="H160" s="35">
        <f>VLOOKUP(B160,[7]IN!$A$1:$M$28,10,0)</f>
        <v>0.3638657407407408</v>
      </c>
      <c r="I160" s="35">
        <f>VLOOKUP(B160,[7]OUT!$A$3:$B$32,2,0)</f>
        <v>0.72971064814814823</v>
      </c>
    </row>
    <row r="161" spans="1:9" x14ac:dyDescent="0.25">
      <c r="A161" s="34">
        <v>46119</v>
      </c>
      <c r="B161" s="25" t="s">
        <v>54</v>
      </c>
      <c r="C161" s="26" t="s">
        <v>55</v>
      </c>
      <c r="D161" t="s">
        <v>53</v>
      </c>
      <c r="H161" s="35">
        <f>VLOOKUP(B161,[7]IN!$A$1:$M$28,10,0)</f>
        <v>0.33050925925925928</v>
      </c>
      <c r="I161" s="35">
        <f>VLOOKUP(B161,[7]OUT!$A$3:$B$32,2,0)</f>
        <v>0.71059027777777783</v>
      </c>
    </row>
    <row r="162" spans="1:9" x14ac:dyDescent="0.25">
      <c r="A162" s="34">
        <v>46119</v>
      </c>
      <c r="B162" s="25" t="s">
        <v>56</v>
      </c>
      <c r="C162" s="27" t="s">
        <v>57</v>
      </c>
      <c r="D162" t="s">
        <v>53</v>
      </c>
      <c r="H162" s="35">
        <f>VLOOKUP(B162,[7]IN!$A$1:$M$28,10,0)</f>
        <v>0.35701388888888891</v>
      </c>
      <c r="I162" s="35">
        <f>VLOOKUP(B162,[7]OUT!$A$3:$B$32,2,0)</f>
        <v>0.72943287037037041</v>
      </c>
    </row>
    <row r="163" spans="1:9" x14ac:dyDescent="0.25">
      <c r="A163" s="34">
        <v>46119</v>
      </c>
      <c r="B163" s="25" t="s">
        <v>58</v>
      </c>
      <c r="C163" s="28" t="s">
        <v>59</v>
      </c>
      <c r="D163" t="s">
        <v>53</v>
      </c>
      <c r="H163" s="35">
        <f>VLOOKUP(B163,[7]IN!$A$1:$M$28,10,0)</f>
        <v>0.34383101851851849</v>
      </c>
      <c r="I163" s="35">
        <f>VLOOKUP(B163,[7]OUT!$A$3:$B$32,2,0)</f>
        <v>0.72921296296296301</v>
      </c>
    </row>
    <row r="164" spans="1:9" x14ac:dyDescent="0.25">
      <c r="A164" s="34">
        <v>46119</v>
      </c>
      <c r="B164" s="25" t="s">
        <v>60</v>
      </c>
      <c r="C164" s="29" t="s">
        <v>61</v>
      </c>
      <c r="D164" t="s">
        <v>53</v>
      </c>
      <c r="H164" s="35">
        <f>VLOOKUP(B164,[7]IN!$A$1:$M$28,10,0)</f>
        <v>0.24755787037037036</v>
      </c>
      <c r="I164" s="35">
        <f>VLOOKUP(B164,[7]OUT!$A$3:$B$32,2,0)</f>
        <v>0.58355324074074078</v>
      </c>
    </row>
    <row r="165" spans="1:9" x14ac:dyDescent="0.25">
      <c r="A165" s="34">
        <v>46119</v>
      </c>
      <c r="B165" s="25" t="s">
        <v>64</v>
      </c>
      <c r="C165" s="30" t="s">
        <v>65</v>
      </c>
      <c r="D165" t="s">
        <v>53</v>
      </c>
      <c r="H165" s="35">
        <f>VLOOKUP(B165,[7]IN!$A$1:$M$28,10,0)</f>
        <v>0.32774305555555555</v>
      </c>
      <c r="I165" s="35">
        <f>VLOOKUP(B165,[7]OUT!$A$3:$B$32,2,0)</f>
        <v>0.70851851851851855</v>
      </c>
    </row>
    <row r="166" spans="1:9" x14ac:dyDescent="0.25">
      <c r="A166" s="34">
        <v>46119</v>
      </c>
      <c r="B166" s="25" t="s">
        <v>68</v>
      </c>
      <c r="C166" s="31" t="s">
        <v>69</v>
      </c>
      <c r="D166" t="s">
        <v>53</v>
      </c>
      <c r="H166" s="35">
        <f>VLOOKUP(B166,[7]IN!$A$1:$M$28,10,0)</f>
        <v>0.35314814814814816</v>
      </c>
      <c r="I166" s="35">
        <f>VLOOKUP(B166,[7]OUT!$A$3:$B$32,2,0)</f>
        <v>0.72954861111111102</v>
      </c>
    </row>
    <row r="167" spans="1:9" x14ac:dyDescent="0.25">
      <c r="A167" s="34">
        <v>46119</v>
      </c>
      <c r="B167" s="25" t="s">
        <v>70</v>
      </c>
      <c r="C167" s="32" t="s">
        <v>71</v>
      </c>
      <c r="D167" t="s">
        <v>53</v>
      </c>
      <c r="H167" s="35">
        <f>VLOOKUP(B167,[7]IN!$A$1:$M$28,10,0)</f>
        <v>0.31829861111111107</v>
      </c>
      <c r="I167" s="35">
        <f>VLOOKUP(B167,[7]OUT!$A$3:$B$32,2,0)</f>
        <v>0.7101736111111111</v>
      </c>
    </row>
    <row r="168" spans="1:9" x14ac:dyDescent="0.25">
      <c r="A168" s="34">
        <v>46119</v>
      </c>
      <c r="B168" s="25" t="s">
        <v>72</v>
      </c>
      <c r="C168" s="32" t="s">
        <v>73</v>
      </c>
      <c r="D168" t="s">
        <v>53</v>
      </c>
      <c r="H168" s="35">
        <f>VLOOKUP(B168,[7]IN!$A$1:$M$28,10,0)</f>
        <v>0.33959490740740739</v>
      </c>
      <c r="I168" s="35">
        <f>VLOOKUP(B168,[7]OUT!$A$3:$B$32,2,0)</f>
        <v>0.72938657407407403</v>
      </c>
    </row>
    <row r="169" spans="1:9" x14ac:dyDescent="0.25">
      <c r="A169" s="34">
        <v>46119</v>
      </c>
      <c r="B169" s="25" t="s">
        <v>78</v>
      </c>
      <c r="C169" s="30" t="s">
        <v>79</v>
      </c>
      <c r="D169" t="s">
        <v>53</v>
      </c>
      <c r="H169" s="35">
        <f>VLOOKUP(B169,[7]IN!$A$1:$M$28,10,0)</f>
        <v>0.57798611111111109</v>
      </c>
      <c r="I169" s="35">
        <f>VLOOKUP(B169,[7]OUT!$A$3:$B$32,2,0)</f>
        <v>0.916875</v>
      </c>
    </row>
    <row r="170" spans="1:9" x14ac:dyDescent="0.25">
      <c r="A170" s="34">
        <v>46119</v>
      </c>
      <c r="B170" s="16" t="s">
        <v>20</v>
      </c>
      <c r="C170" s="17" t="s">
        <v>21</v>
      </c>
      <c r="D170" t="s">
        <v>19</v>
      </c>
      <c r="H170" s="35">
        <v>0.79431712962962964</v>
      </c>
      <c r="I170" s="35">
        <v>0.25516203703703705</v>
      </c>
    </row>
    <row r="171" spans="1:9" x14ac:dyDescent="0.25">
      <c r="A171" s="34">
        <v>46119</v>
      </c>
      <c r="B171" s="16" t="s">
        <v>26</v>
      </c>
      <c r="C171" s="17" t="s">
        <v>27</v>
      </c>
      <c r="D171" t="s">
        <v>19</v>
      </c>
      <c r="H171" s="35">
        <v>0.78784722222222225</v>
      </c>
      <c r="I171" s="35">
        <v>0.25188657407407405</v>
      </c>
    </row>
    <row r="172" spans="1:9" x14ac:dyDescent="0.25">
      <c r="A172" s="34">
        <v>46119</v>
      </c>
      <c r="B172" s="25" t="s">
        <v>74</v>
      </c>
      <c r="C172" s="30" t="s">
        <v>75</v>
      </c>
      <c r="D172" t="s">
        <v>53</v>
      </c>
      <c r="H172" s="35">
        <v>0.90563657407407405</v>
      </c>
      <c r="I172" s="35">
        <v>0.25217592592592591</v>
      </c>
    </row>
    <row r="173" spans="1:9" x14ac:dyDescent="0.25">
      <c r="A173" s="34">
        <v>46119</v>
      </c>
      <c r="B173" s="25" t="s">
        <v>76</v>
      </c>
      <c r="C173" s="30" t="s">
        <v>77</v>
      </c>
      <c r="D173" t="s">
        <v>53</v>
      </c>
      <c r="H173" s="35">
        <v>0.90601851851851845</v>
      </c>
      <c r="I173" s="35">
        <v>0.25175925925925929</v>
      </c>
    </row>
    <row r="174" spans="1:9" x14ac:dyDescent="0.25">
      <c r="A174" s="34">
        <v>46120</v>
      </c>
      <c r="B174" s="14" t="s">
        <v>17</v>
      </c>
      <c r="C174" s="15" t="s">
        <v>18</v>
      </c>
      <c r="D174" t="s">
        <v>19</v>
      </c>
      <c r="H174" s="35">
        <f>VLOOKUP(B174,[8]IN!$A$1:$L$27,10,0)</f>
        <v>0.3331365740740741</v>
      </c>
      <c r="I174" s="35">
        <f>VLOOKUP(B174,[8]OUT!$A$3:$B$32,2,0)</f>
        <v>0.73427083333333332</v>
      </c>
    </row>
    <row r="175" spans="1:9" x14ac:dyDescent="0.25">
      <c r="A175" s="34">
        <v>46120</v>
      </c>
      <c r="B175" s="16" t="s">
        <v>22</v>
      </c>
      <c r="C175" s="17" t="s">
        <v>23</v>
      </c>
      <c r="D175" t="s">
        <v>19</v>
      </c>
      <c r="H175" s="35">
        <f>VLOOKUP(B175,[8]IN!$A$1:$L$27,10,0)</f>
        <v>0.24424768518518516</v>
      </c>
      <c r="I175" s="35">
        <f>VLOOKUP(B175,[8]OUT!$A$3:$B$32,2,0)</f>
        <v>0.70993055555555562</v>
      </c>
    </row>
    <row r="176" spans="1:9" x14ac:dyDescent="0.25">
      <c r="A176" s="34">
        <v>46120</v>
      </c>
      <c r="B176" s="16" t="s">
        <v>28</v>
      </c>
      <c r="C176" s="17" t="s">
        <v>29</v>
      </c>
      <c r="D176" t="s">
        <v>19</v>
      </c>
      <c r="H176" s="35">
        <f>VLOOKUP(B176,[8]IN!$A$1:$L$27,10,0)</f>
        <v>0.32684027777777774</v>
      </c>
      <c r="I176" s="35">
        <f>VLOOKUP(B176,[8]OUT!$A$3:$B$32,2,0)</f>
        <v>0.79175925925925927</v>
      </c>
    </row>
    <row r="177" spans="1:9" x14ac:dyDescent="0.25">
      <c r="A177" s="34">
        <v>46120</v>
      </c>
      <c r="B177" s="16" t="s">
        <v>30</v>
      </c>
      <c r="C177" s="17" t="s">
        <v>31</v>
      </c>
      <c r="D177" t="s">
        <v>19</v>
      </c>
      <c r="H177" s="35">
        <f>VLOOKUP(B177,[8]IN!$A$1:$L$27,10,0)</f>
        <v>0.34359953703703705</v>
      </c>
      <c r="I177" s="35">
        <f>VLOOKUP(B177,[8]OUT!$A$3:$B$32,2,0)</f>
        <v>0.729375</v>
      </c>
    </row>
    <row r="178" spans="1:9" x14ac:dyDescent="0.25">
      <c r="A178" s="34">
        <v>46120</v>
      </c>
      <c r="B178" s="16" t="s">
        <v>32</v>
      </c>
      <c r="C178" s="20" t="s">
        <v>33</v>
      </c>
      <c r="D178" t="s">
        <v>19</v>
      </c>
      <c r="H178" s="35">
        <f>VLOOKUP(B178,[8]IN!$A$1:$L$27,10,0)</f>
        <v>0.35973379629629632</v>
      </c>
      <c r="I178" s="35">
        <f>VLOOKUP(B178,[8]OUT!$A$3:$B$32,2,0)</f>
        <v>0.73268518518518511</v>
      </c>
    </row>
    <row r="179" spans="1:9" x14ac:dyDescent="0.25">
      <c r="A179" s="34">
        <v>46120</v>
      </c>
      <c r="B179" s="16" t="s">
        <v>34</v>
      </c>
      <c r="C179" s="17" t="s">
        <v>35</v>
      </c>
      <c r="D179" t="s">
        <v>19</v>
      </c>
      <c r="H179" s="35">
        <f>VLOOKUP(B179,[8]IN!$A$1:$L$27,10,0)</f>
        <v>0.31015046296296295</v>
      </c>
      <c r="I179" s="35">
        <f>VLOOKUP(B179,[8]OUT!$A$3:$B$32,2,0)</f>
        <v>0.72994212962962957</v>
      </c>
    </row>
    <row r="180" spans="1:9" x14ac:dyDescent="0.25">
      <c r="A180" s="34">
        <v>46120</v>
      </c>
      <c r="B180" s="16" t="s">
        <v>36</v>
      </c>
      <c r="C180" s="21" t="s">
        <v>37</v>
      </c>
      <c r="D180" t="s">
        <v>19</v>
      </c>
      <c r="H180" s="35">
        <f>VLOOKUP(B180,[8]IN!$A$1:$L$27,10,0)</f>
        <v>0.34380787037037036</v>
      </c>
      <c r="I180" s="35">
        <f>VLOOKUP(B180,[8]OUT!$A$3:$B$32,2,0)</f>
        <v>0.73258101851851853</v>
      </c>
    </row>
    <row r="181" spans="1:9" x14ac:dyDescent="0.25">
      <c r="A181" s="34">
        <v>46120</v>
      </c>
      <c r="B181" s="16" t="s">
        <v>38</v>
      </c>
      <c r="C181" s="21" t="s">
        <v>39</v>
      </c>
      <c r="D181" t="s">
        <v>19</v>
      </c>
      <c r="H181" s="35">
        <f>VLOOKUP(B181,[8]IN!$A$1:$L$27,10,0)</f>
        <v>0.33298611111111115</v>
      </c>
      <c r="I181" s="35">
        <f>VLOOKUP(B181,[8]OUT!$A$3:$B$32,2,0)</f>
        <v>0.73410879629629633</v>
      </c>
    </row>
    <row r="182" spans="1:9" x14ac:dyDescent="0.25">
      <c r="A182" s="34">
        <v>46120</v>
      </c>
      <c r="B182" s="16" t="s">
        <v>40</v>
      </c>
      <c r="C182" s="22" t="s">
        <v>41</v>
      </c>
      <c r="D182" t="s">
        <v>42</v>
      </c>
      <c r="H182" s="35">
        <f>VLOOKUP(B182,[8]IN!$A$1:$L$27,10,0)</f>
        <v>0.34749999999999998</v>
      </c>
      <c r="I182" s="35">
        <f>VLOOKUP(B182,[8]OUT!$A$3:$B$32,2,0)</f>
        <v>0.72979166666666673</v>
      </c>
    </row>
    <row r="183" spans="1:9" x14ac:dyDescent="0.25">
      <c r="A183" s="34">
        <v>46120</v>
      </c>
      <c r="B183" s="16" t="s">
        <v>43</v>
      </c>
      <c r="C183" s="23" t="s">
        <v>44</v>
      </c>
      <c r="D183" t="s">
        <v>42</v>
      </c>
      <c r="H183" s="35">
        <f>VLOOKUP(B183,[8]IN!$A$1:$L$27,10,0)</f>
        <v>0.57546296296296295</v>
      </c>
      <c r="I183" s="35">
        <f>VLOOKUP(B183,[8]OUT!$A$3:$B$32,2,0)</f>
        <v>0.91675925925925927</v>
      </c>
    </row>
    <row r="184" spans="1:9" x14ac:dyDescent="0.25">
      <c r="A184" s="34">
        <v>46120</v>
      </c>
      <c r="B184" s="16" t="s">
        <v>49</v>
      </c>
      <c r="C184" s="24" t="s">
        <v>50</v>
      </c>
      <c r="D184" t="s">
        <v>42</v>
      </c>
      <c r="H184" s="35">
        <f>VLOOKUP(B184,[8]IN!$A$1:$L$27,10,0)</f>
        <v>0.36224537037037036</v>
      </c>
      <c r="I184" s="35">
        <f>VLOOKUP(B184,[8]OUT!$A$3:$B$32,2,0)</f>
        <v>0.72949074074074083</v>
      </c>
    </row>
    <row r="185" spans="1:9" x14ac:dyDescent="0.25">
      <c r="A185" s="34">
        <v>46120</v>
      </c>
      <c r="B185" s="25" t="s">
        <v>51</v>
      </c>
      <c r="C185" s="26" t="s">
        <v>52</v>
      </c>
      <c r="D185" t="s">
        <v>53</v>
      </c>
      <c r="H185" s="35">
        <f>VLOOKUP(B185,[8]IN!$A$1:$L$27,10,0)</f>
        <v>0.35656249999999995</v>
      </c>
      <c r="I185" s="35">
        <f>VLOOKUP(B185,[8]OUT!$A$3:$B$32,2,0)</f>
        <v>0.73008101851851848</v>
      </c>
    </row>
    <row r="186" spans="1:9" x14ac:dyDescent="0.25">
      <c r="A186" s="34">
        <v>46120</v>
      </c>
      <c r="B186" s="25" t="s">
        <v>56</v>
      </c>
      <c r="C186" s="27" t="s">
        <v>57</v>
      </c>
      <c r="D186" t="s">
        <v>53</v>
      </c>
      <c r="H186" s="35">
        <f>VLOOKUP(B186,[8]IN!$A$1:$L$27,10,0)</f>
        <v>0.35730324074074077</v>
      </c>
      <c r="I186" s="35">
        <f>VLOOKUP(B186,[8]OUT!$A$3:$B$32,2,0)</f>
        <v>0.72964120370370367</v>
      </c>
    </row>
    <row r="187" spans="1:9" x14ac:dyDescent="0.25">
      <c r="A187" s="34">
        <v>46120</v>
      </c>
      <c r="B187" s="25" t="s">
        <v>58</v>
      </c>
      <c r="C187" s="28" t="s">
        <v>59</v>
      </c>
      <c r="D187" t="s">
        <v>53</v>
      </c>
      <c r="H187" s="35">
        <f>VLOOKUP(B187,[8]IN!$A$1:$L$27,10,0)</f>
        <v>0.33975694444444443</v>
      </c>
      <c r="I187" s="35">
        <f>VLOOKUP(B187,[8]OUT!$A$3:$B$32,2,0)</f>
        <v>0.72921296296296301</v>
      </c>
    </row>
    <row r="188" spans="1:9" x14ac:dyDescent="0.25">
      <c r="A188" s="34">
        <v>46120</v>
      </c>
      <c r="B188" s="25" t="s">
        <v>62</v>
      </c>
      <c r="C188" s="30" t="s">
        <v>63</v>
      </c>
      <c r="D188" t="s">
        <v>53</v>
      </c>
      <c r="H188" s="35">
        <f>VLOOKUP(B188,[8]IN!$A$1:$L$27,10,0)</f>
        <v>0.34942129629629631</v>
      </c>
      <c r="I188" s="35">
        <f>VLOOKUP(B188,[8]OUT!$A$3:$B$32,2,0)</f>
        <v>0.73435185185185192</v>
      </c>
    </row>
    <row r="189" spans="1:9" x14ac:dyDescent="0.25">
      <c r="A189" s="34">
        <v>46120</v>
      </c>
      <c r="B189" s="25" t="s">
        <v>64</v>
      </c>
      <c r="C189" s="30" t="s">
        <v>65</v>
      </c>
      <c r="D189" t="s">
        <v>53</v>
      </c>
      <c r="H189" s="35">
        <f>VLOOKUP(B189,[8]IN!$A$1:$L$27,10,0)</f>
        <v>0.32225694444444447</v>
      </c>
      <c r="I189" s="35">
        <f>VLOOKUP(B189,[8]OUT!$A$3:$B$32,2,0)</f>
        <v>0.70937499999999998</v>
      </c>
    </row>
    <row r="190" spans="1:9" x14ac:dyDescent="0.25">
      <c r="A190" s="34">
        <v>46120</v>
      </c>
      <c r="B190" s="25" t="s">
        <v>66</v>
      </c>
      <c r="C190" s="31" t="s">
        <v>67</v>
      </c>
      <c r="D190" t="s">
        <v>53</v>
      </c>
      <c r="H190" s="35">
        <f>VLOOKUP(B190,[8]IN!$A$1:$L$27,10,0)</f>
        <v>0.34261574074074069</v>
      </c>
      <c r="I190" s="35">
        <f>VLOOKUP(B190,[8]OUT!$A$3:$B$32,2,0)</f>
        <v>0.72952546296296295</v>
      </c>
    </row>
    <row r="191" spans="1:9" x14ac:dyDescent="0.25">
      <c r="A191" s="34">
        <v>46120</v>
      </c>
      <c r="B191" s="25" t="s">
        <v>68</v>
      </c>
      <c r="C191" s="31" t="s">
        <v>69</v>
      </c>
      <c r="D191" t="s">
        <v>53</v>
      </c>
      <c r="H191" s="35">
        <f>VLOOKUP(B191,[8]IN!$A$1:$L$27,10,0)</f>
        <v>0.36140046296296297</v>
      </c>
      <c r="I191" s="35">
        <f>VLOOKUP(B191,[8]OUT!$A$3:$B$32,2,0)</f>
        <v>0.72918981481481471</v>
      </c>
    </row>
    <row r="192" spans="1:9" x14ac:dyDescent="0.25">
      <c r="A192" s="34">
        <v>46120</v>
      </c>
      <c r="B192" s="25" t="s">
        <v>70</v>
      </c>
      <c r="C192" s="32" t="s">
        <v>71</v>
      </c>
      <c r="D192" t="s">
        <v>53</v>
      </c>
      <c r="H192" s="35">
        <f>VLOOKUP(B192,[8]IN!$A$1:$L$27,10,0)</f>
        <v>0.31762731481481482</v>
      </c>
      <c r="I192" s="35">
        <f>VLOOKUP(B192,[8]OUT!$A$3:$B$32,2,0)</f>
        <v>0.7095717592592593</v>
      </c>
    </row>
    <row r="193" spans="1:9" x14ac:dyDescent="0.25">
      <c r="A193" s="34">
        <v>46120</v>
      </c>
      <c r="B193" s="25" t="s">
        <v>72</v>
      </c>
      <c r="C193" s="32" t="s">
        <v>73</v>
      </c>
      <c r="D193" t="s">
        <v>53</v>
      </c>
      <c r="H193" s="35">
        <f>VLOOKUP(B193,[8]IN!$A$1:$L$27,10,0)</f>
        <v>0.36290509259259257</v>
      </c>
      <c r="I193" s="35">
        <f>VLOOKUP(B193,[8]OUT!$A$3:$B$32,2,0)</f>
        <v>0.72934027777777777</v>
      </c>
    </row>
    <row r="194" spans="1:9" x14ac:dyDescent="0.25">
      <c r="A194" s="34">
        <v>46120</v>
      </c>
      <c r="B194" s="25" t="s">
        <v>78</v>
      </c>
      <c r="C194" s="30" t="s">
        <v>79</v>
      </c>
      <c r="D194" t="s">
        <v>53</v>
      </c>
      <c r="H194" s="35">
        <f>VLOOKUP(B194,[8]IN!$A$1:$L$27,10,0)</f>
        <v>0.25412037037037039</v>
      </c>
      <c r="I194" s="35">
        <f>VLOOKUP(B194,[8]OUT!$A$3:$B$32,2,0)</f>
        <v>0.58358796296296289</v>
      </c>
    </row>
    <row r="195" spans="1:9" x14ac:dyDescent="0.25">
      <c r="A195" s="34">
        <v>46120</v>
      </c>
      <c r="B195" s="25" t="s">
        <v>80</v>
      </c>
      <c r="C195" s="27" t="s">
        <v>81</v>
      </c>
      <c r="D195" t="s">
        <v>53</v>
      </c>
      <c r="H195" s="35">
        <f>VLOOKUP(B195,[8]IN!$A$1:$L$27,10,0)</f>
        <v>0.59747685185185184</v>
      </c>
      <c r="I195" s="35">
        <f>VLOOKUP(B195,[8]OUT!$A$3:$B$32,2,0)</f>
        <v>0.91689814814814818</v>
      </c>
    </row>
    <row r="196" spans="1:9" x14ac:dyDescent="0.25">
      <c r="A196" s="34">
        <v>46120</v>
      </c>
      <c r="B196" s="16" t="s">
        <v>20</v>
      </c>
      <c r="C196" s="17" t="s">
        <v>21</v>
      </c>
      <c r="D196" t="s">
        <v>19</v>
      </c>
      <c r="H196" s="35">
        <v>0.77174768518518511</v>
      </c>
      <c r="I196" s="35">
        <v>0.25407407407407406</v>
      </c>
    </row>
    <row r="197" spans="1:9" x14ac:dyDescent="0.25">
      <c r="A197" s="34">
        <v>46120</v>
      </c>
      <c r="B197" s="16" t="s">
        <v>26</v>
      </c>
      <c r="C197" s="17" t="s">
        <v>27</v>
      </c>
      <c r="D197" t="s">
        <v>19</v>
      </c>
      <c r="H197" s="35">
        <v>0.79011574074074076</v>
      </c>
      <c r="I197" s="35">
        <v>0.25306712962962963</v>
      </c>
    </row>
    <row r="198" spans="1:9" x14ac:dyDescent="0.25">
      <c r="A198" s="34">
        <v>46120</v>
      </c>
      <c r="B198" s="16" t="s">
        <v>45</v>
      </c>
      <c r="C198" s="23" t="s">
        <v>46</v>
      </c>
      <c r="D198" t="s">
        <v>42</v>
      </c>
      <c r="H198" s="35">
        <v>0.9059490740740741</v>
      </c>
      <c r="I198" s="35">
        <v>0.25041666666666668</v>
      </c>
    </row>
    <row r="199" spans="1:9" x14ac:dyDescent="0.25">
      <c r="A199" s="34">
        <v>46120</v>
      </c>
      <c r="B199" s="25" t="s">
        <v>74</v>
      </c>
      <c r="C199" s="30" t="s">
        <v>75</v>
      </c>
      <c r="D199" t="s">
        <v>53</v>
      </c>
      <c r="H199" s="35">
        <v>0.90609953703703694</v>
      </c>
      <c r="I199" s="35">
        <v>0.25055555555555559</v>
      </c>
    </row>
    <row r="200" spans="1:9" x14ac:dyDescent="0.25">
      <c r="A200" s="34">
        <v>46121</v>
      </c>
      <c r="B200" s="14" t="s">
        <v>17</v>
      </c>
      <c r="C200" s="15" t="s">
        <v>18</v>
      </c>
      <c r="D200" t="s">
        <v>19</v>
      </c>
      <c r="H200" s="35">
        <f>VLOOKUP(B200,[9]IN!$A$1:$M$29,10,0)</f>
        <v>0.33621527777777777</v>
      </c>
      <c r="I200" s="35">
        <f>VLOOKUP(B200,[9]OUT!$A$3:$B$31,2,0)</f>
        <v>0.72961805555555559</v>
      </c>
    </row>
    <row r="201" spans="1:9" x14ac:dyDescent="0.25">
      <c r="A201" s="34">
        <v>46121</v>
      </c>
      <c r="B201" s="16" t="s">
        <v>22</v>
      </c>
      <c r="C201" s="17" t="s">
        <v>23</v>
      </c>
      <c r="D201" t="s">
        <v>19</v>
      </c>
      <c r="H201" s="35">
        <f>VLOOKUP(B201,[9]IN!$A$1:$M$29,10,0)</f>
        <v>0.24378472222222222</v>
      </c>
      <c r="I201" s="35">
        <f>VLOOKUP(B201,[9]OUT!$A$3:$B$31,2,0)</f>
        <v>0.71589120370370374</v>
      </c>
    </row>
    <row r="202" spans="1:9" x14ac:dyDescent="0.25">
      <c r="A202" s="34">
        <v>46121</v>
      </c>
      <c r="B202" s="18" t="s">
        <v>24</v>
      </c>
      <c r="C202" s="19" t="s">
        <v>25</v>
      </c>
      <c r="D202" t="s">
        <v>19</v>
      </c>
      <c r="H202" s="35">
        <f>VLOOKUP(B202,[9]IN!$A$1:$M$29,10,0)</f>
        <v>0.32487268518518519</v>
      </c>
      <c r="I202" s="35">
        <f>VLOOKUP(B202,[9]OUT!$A$3:$B$31,2,0)</f>
        <v>0.79799768518518521</v>
      </c>
    </row>
    <row r="203" spans="1:9" x14ac:dyDescent="0.25">
      <c r="A203" s="34">
        <v>46121</v>
      </c>
      <c r="B203" s="16" t="s">
        <v>28</v>
      </c>
      <c r="C203" s="17" t="s">
        <v>29</v>
      </c>
      <c r="D203" t="s">
        <v>19</v>
      </c>
      <c r="H203" s="35">
        <f>VLOOKUP(B203,[9]IN!$A$1:$M$29,10,0)</f>
        <v>0.3271296296296296</v>
      </c>
      <c r="I203" s="35">
        <f>VLOOKUP(B203,[9]OUT!$A$3:$B$31,2,0)</f>
        <v>0.7978587962962963</v>
      </c>
    </row>
    <row r="204" spans="1:9" x14ac:dyDescent="0.25">
      <c r="A204" s="34">
        <v>46121</v>
      </c>
      <c r="B204" s="16" t="s">
        <v>30</v>
      </c>
      <c r="C204" s="17" t="s">
        <v>31</v>
      </c>
      <c r="D204" t="s">
        <v>19</v>
      </c>
      <c r="H204" s="35">
        <f>VLOOKUP(B204,[9]IN!$A$1:$M$29,10,0)</f>
        <v>0.33202546296296293</v>
      </c>
      <c r="I204" s="35">
        <f>VLOOKUP(B204,[9]OUT!$A$3:$B$31,2,0)</f>
        <v>0.74238425925925933</v>
      </c>
    </row>
    <row r="205" spans="1:9" x14ac:dyDescent="0.25">
      <c r="A205" s="34">
        <v>46121</v>
      </c>
      <c r="B205" s="16" t="s">
        <v>32</v>
      </c>
      <c r="C205" s="20" t="s">
        <v>33</v>
      </c>
      <c r="D205" t="s">
        <v>19</v>
      </c>
      <c r="H205" s="35">
        <f>VLOOKUP(B205,[9]IN!$A$1:$M$29,10,0)</f>
        <v>0.3550462962962963</v>
      </c>
      <c r="I205" s="35">
        <f>VLOOKUP(B205,[9]OUT!$A$3:$B$31,2,0)</f>
        <v>0.72924768518518512</v>
      </c>
    </row>
    <row r="206" spans="1:9" x14ac:dyDescent="0.25">
      <c r="A206" s="34">
        <v>46121</v>
      </c>
      <c r="B206" s="16" t="s">
        <v>34</v>
      </c>
      <c r="C206" s="17" t="s">
        <v>35</v>
      </c>
      <c r="D206" t="s">
        <v>19</v>
      </c>
      <c r="H206" s="35">
        <f>VLOOKUP(B206,[9]IN!$A$1:$M$29,10,0)</f>
        <v>0.33859953703703699</v>
      </c>
      <c r="I206" s="35">
        <f>VLOOKUP(B206,[9]OUT!$A$3:$B$31,2,0)</f>
        <v>0.72979166666666673</v>
      </c>
    </row>
    <row r="207" spans="1:9" x14ac:dyDescent="0.25">
      <c r="A207" s="34">
        <v>46121</v>
      </c>
      <c r="B207" s="16" t="s">
        <v>36</v>
      </c>
      <c r="C207" s="21" t="s">
        <v>37</v>
      </c>
      <c r="D207" t="s">
        <v>19</v>
      </c>
      <c r="H207" s="35">
        <f>VLOOKUP(B207,[9]IN!$A$1:$M$29,10,0)</f>
        <v>0.35180555555555554</v>
      </c>
      <c r="I207" s="35">
        <f>VLOOKUP(B207,[9]OUT!$A$3:$B$31,2,0)</f>
        <v>0.72954861111111102</v>
      </c>
    </row>
    <row r="208" spans="1:9" x14ac:dyDescent="0.25">
      <c r="A208" s="34">
        <v>46121</v>
      </c>
      <c r="B208" s="16" t="s">
        <v>38</v>
      </c>
      <c r="C208" s="21" t="s">
        <v>39</v>
      </c>
      <c r="D208" t="s">
        <v>19</v>
      </c>
      <c r="H208" s="35">
        <f>VLOOKUP(B208,[9]IN!$A$1:$M$29,10,0)</f>
        <v>0.33609953703703704</v>
      </c>
      <c r="I208" s="35">
        <f>VLOOKUP(B208,[9]OUT!$A$3:$B$31,2,0)</f>
        <v>0.72940972222222233</v>
      </c>
    </row>
    <row r="209" spans="1:9" x14ac:dyDescent="0.25">
      <c r="A209" s="34">
        <v>46121</v>
      </c>
      <c r="B209" s="16" t="s">
        <v>40</v>
      </c>
      <c r="C209" s="22" t="s">
        <v>41</v>
      </c>
      <c r="D209" t="s">
        <v>42</v>
      </c>
      <c r="H209" s="35">
        <f>VLOOKUP(B209,[9]IN!$A$1:$M$29,10,0)</f>
        <v>0.34827546296296297</v>
      </c>
      <c r="I209" s="35">
        <f>VLOOKUP(B209,[9]OUT!$A$3:$B$31,2,0)</f>
        <v>0.72950231481481476</v>
      </c>
    </row>
    <row r="210" spans="1:9" x14ac:dyDescent="0.25">
      <c r="A210" s="34">
        <v>46121</v>
      </c>
      <c r="B210" s="16" t="s">
        <v>43</v>
      </c>
      <c r="C210" s="23" t="s">
        <v>44</v>
      </c>
      <c r="D210" t="s">
        <v>42</v>
      </c>
      <c r="H210" s="35">
        <f>VLOOKUP(B210,[9]IN!$A$1:$M$29,10,0)</f>
        <v>0.34783564814814816</v>
      </c>
      <c r="I210" s="35">
        <f>VLOOKUP(B210,[9]OUT!$A$3:$B$31,2,0)</f>
        <v>0.72931712962962969</v>
      </c>
    </row>
    <row r="211" spans="1:9" x14ac:dyDescent="0.25">
      <c r="A211" s="34">
        <v>46121</v>
      </c>
      <c r="B211" s="16" t="s">
        <v>49</v>
      </c>
      <c r="C211" s="24" t="s">
        <v>50</v>
      </c>
      <c r="D211" t="s">
        <v>42</v>
      </c>
      <c r="H211" s="35">
        <f>VLOOKUP(B211,[9]IN!$A$1:$M$29,10,0)</f>
        <v>0.36290509259259257</v>
      </c>
      <c r="I211" s="35">
        <f>VLOOKUP(B211,[9]OUT!$A$3:$B$31,2,0)</f>
        <v>0.72966435185185186</v>
      </c>
    </row>
    <row r="212" spans="1:9" x14ac:dyDescent="0.25">
      <c r="A212" s="34">
        <v>46121</v>
      </c>
      <c r="B212" s="25" t="s">
        <v>51</v>
      </c>
      <c r="C212" s="26" t="s">
        <v>52</v>
      </c>
      <c r="D212" t="s">
        <v>53</v>
      </c>
      <c r="H212" s="35">
        <f>VLOOKUP(B212,[9]IN!$A$1:$M$29,10,0)</f>
        <v>0.36232638888888885</v>
      </c>
      <c r="I212" s="35">
        <f>VLOOKUP(B212,[9]OUT!$A$3:$B$31,2,0)</f>
        <v>0.7298958333333333</v>
      </c>
    </row>
    <row r="213" spans="1:9" x14ac:dyDescent="0.25">
      <c r="A213" s="34">
        <v>46121</v>
      </c>
      <c r="B213" s="25" t="s">
        <v>56</v>
      </c>
      <c r="C213" s="27" t="s">
        <v>57</v>
      </c>
      <c r="D213" t="s">
        <v>53</v>
      </c>
      <c r="H213" s="35">
        <f>VLOOKUP(B213,[9]IN!$A$1:$M$29,10,0)</f>
        <v>0.3606712962962963</v>
      </c>
      <c r="I213" s="35">
        <f>VLOOKUP(B213,[9]OUT!$A$3:$B$31,2,0)</f>
        <v>0.72965277777777782</v>
      </c>
    </row>
    <row r="214" spans="1:9" x14ac:dyDescent="0.25">
      <c r="A214" s="34">
        <v>46121</v>
      </c>
      <c r="B214" s="25" t="s">
        <v>58</v>
      </c>
      <c r="C214" s="28" t="s">
        <v>59</v>
      </c>
      <c r="D214" t="s">
        <v>53</v>
      </c>
      <c r="H214" s="35">
        <f>VLOOKUP(B214,[9]IN!$A$1:$M$29,10,0)</f>
        <v>0.33877314814814818</v>
      </c>
      <c r="I214" s="35">
        <f>VLOOKUP(B214,[9]OUT!$A$3:$B$31,2,0)</f>
        <v>0.72930555555555554</v>
      </c>
    </row>
    <row r="215" spans="1:9" x14ac:dyDescent="0.25">
      <c r="A215" s="34">
        <v>46121</v>
      </c>
      <c r="B215" s="25" t="s">
        <v>62</v>
      </c>
      <c r="C215" s="30" t="s">
        <v>63</v>
      </c>
      <c r="D215" t="s">
        <v>53</v>
      </c>
      <c r="H215" s="35">
        <f>VLOOKUP(B215,[9]IN!$A$1:$M$29,10,0)</f>
        <v>0.35538194444444443</v>
      </c>
      <c r="I215" s="35">
        <f>VLOOKUP(B215,[9]OUT!$A$3:$B$31,2,0)</f>
        <v>0.72971064814814823</v>
      </c>
    </row>
    <row r="216" spans="1:9" x14ac:dyDescent="0.25">
      <c r="A216" s="34">
        <v>46121</v>
      </c>
      <c r="B216" s="25" t="s">
        <v>64</v>
      </c>
      <c r="C216" s="30" t="s">
        <v>65</v>
      </c>
      <c r="D216" t="s">
        <v>53</v>
      </c>
      <c r="H216" s="35">
        <f>VLOOKUP(B216,[9]IN!$A$1:$M$29,10,0)</f>
        <v>0.33577546296296296</v>
      </c>
      <c r="I216" s="35">
        <f>VLOOKUP(B216,[9]OUT!$A$3:$B$31,2,0)</f>
        <v>0.7088310185185186</v>
      </c>
    </row>
    <row r="217" spans="1:9" x14ac:dyDescent="0.25">
      <c r="A217" s="34">
        <v>46121</v>
      </c>
      <c r="B217" s="25" t="s">
        <v>68</v>
      </c>
      <c r="C217" s="31" t="s">
        <v>69</v>
      </c>
      <c r="D217" t="s">
        <v>53</v>
      </c>
      <c r="H217" s="35">
        <f>VLOOKUP(B217,[9]IN!$A$1:$M$29,10,0)</f>
        <v>0.35386574074074079</v>
      </c>
      <c r="I217" s="35">
        <f>VLOOKUP(B217,[9]OUT!$A$3:$B$31,2,0)</f>
        <v>0.72923611111111108</v>
      </c>
    </row>
    <row r="218" spans="1:9" x14ac:dyDescent="0.25">
      <c r="A218" s="34">
        <v>46121</v>
      </c>
      <c r="B218" s="25" t="s">
        <v>70</v>
      </c>
      <c r="C218" s="32" t="s">
        <v>71</v>
      </c>
      <c r="D218" t="s">
        <v>53</v>
      </c>
      <c r="H218" s="35">
        <f>VLOOKUP(B218,[9]IN!$A$1:$M$29,10,0)</f>
        <v>0.31917824074074075</v>
      </c>
      <c r="I218" s="35">
        <f>VLOOKUP(B218,[9]OUT!$A$3:$B$31,2,0)</f>
        <v>0.70862268518518512</v>
      </c>
    </row>
    <row r="219" spans="1:9" x14ac:dyDescent="0.25">
      <c r="A219" s="34">
        <v>46121</v>
      </c>
      <c r="B219" s="25" t="s">
        <v>72</v>
      </c>
      <c r="C219" s="32" t="s">
        <v>73</v>
      </c>
      <c r="D219" t="s">
        <v>53</v>
      </c>
      <c r="H219" s="35">
        <f>VLOOKUP(B219,[9]IN!$A$1:$M$29,10,0)</f>
        <v>0.34032407407407406</v>
      </c>
      <c r="I219" s="35">
        <f>VLOOKUP(B219,[9]OUT!$A$3:$B$31,2,0)</f>
        <v>0.72946759259259253</v>
      </c>
    </row>
    <row r="220" spans="1:9" x14ac:dyDescent="0.25">
      <c r="A220" s="34">
        <v>46121</v>
      </c>
      <c r="B220" s="25" t="s">
        <v>76</v>
      </c>
      <c r="C220" s="30" t="s">
        <v>77</v>
      </c>
      <c r="D220" t="s">
        <v>53</v>
      </c>
      <c r="H220" s="35">
        <f>VLOOKUP(B220,[9]IN!$A$1:$M$29,10,0)</f>
        <v>0.5704745370370371</v>
      </c>
      <c r="I220" s="35">
        <f>VLOOKUP(B220,[9]OUT!$A$3:$B$31,2,0)</f>
        <v>0.91771990740740739</v>
      </c>
    </row>
    <row r="221" spans="1:9" x14ac:dyDescent="0.25">
      <c r="A221" s="34">
        <v>46121</v>
      </c>
      <c r="B221" s="25" t="s">
        <v>78</v>
      </c>
      <c r="C221" s="30" t="s">
        <v>79</v>
      </c>
      <c r="D221" t="s">
        <v>53</v>
      </c>
      <c r="H221" s="35">
        <f>VLOOKUP(B221,[9]IN!$A$1:$M$29,10,0)</f>
        <v>0.27311342592592591</v>
      </c>
      <c r="I221" s="35">
        <f>VLOOKUP(B221,[9]OUT!$A$3:$B$31,2,0)</f>
        <v>0.58343749999999994</v>
      </c>
    </row>
    <row r="222" spans="1:9" x14ac:dyDescent="0.25">
      <c r="A222" s="34">
        <v>46121</v>
      </c>
      <c r="B222" s="25" t="s">
        <v>80</v>
      </c>
      <c r="C222" s="27" t="s">
        <v>81</v>
      </c>
      <c r="D222" t="s">
        <v>53</v>
      </c>
      <c r="H222" s="35">
        <f>VLOOKUP(B222,[9]IN!$A$1:$M$29,10,0)</f>
        <v>0.59004629629629635</v>
      </c>
      <c r="I222" s="35">
        <f>VLOOKUP(B222,[9]OUT!$A$3:$B$31,2,0)</f>
        <v>0.91765046296296304</v>
      </c>
    </row>
    <row r="223" spans="1:9" x14ac:dyDescent="0.25">
      <c r="A223" s="34">
        <v>46121</v>
      </c>
      <c r="B223" s="16" t="s">
        <v>20</v>
      </c>
      <c r="C223" s="17" t="s">
        <v>21</v>
      </c>
      <c r="D223" t="s">
        <v>19</v>
      </c>
      <c r="H223" s="35">
        <v>0.77824074074074068</v>
      </c>
      <c r="I223" s="35">
        <v>0.2555324074074074</v>
      </c>
    </row>
    <row r="224" spans="1:9" x14ac:dyDescent="0.25">
      <c r="A224" s="34">
        <v>46121</v>
      </c>
      <c r="B224" s="16" t="s">
        <v>26</v>
      </c>
      <c r="C224" s="17" t="s">
        <v>27</v>
      </c>
      <c r="D224" t="s">
        <v>19</v>
      </c>
      <c r="H224" s="35">
        <v>0.79194444444444445</v>
      </c>
      <c r="I224" s="35">
        <v>0.25194444444444447</v>
      </c>
    </row>
    <row r="225" spans="1:9" x14ac:dyDescent="0.25">
      <c r="A225" s="34">
        <v>46121</v>
      </c>
      <c r="B225" s="16" t="s">
        <v>45</v>
      </c>
      <c r="C225" s="23" t="s">
        <v>46</v>
      </c>
      <c r="D225" t="s">
        <v>42</v>
      </c>
      <c r="H225" s="35">
        <v>0.90738425925925925</v>
      </c>
      <c r="I225" s="35">
        <v>0.25004629629629632</v>
      </c>
    </row>
    <row r="226" spans="1:9" x14ac:dyDescent="0.25">
      <c r="A226" s="34">
        <v>46121</v>
      </c>
      <c r="B226" s="25" t="s">
        <v>74</v>
      </c>
      <c r="C226" s="30" t="s">
        <v>75</v>
      </c>
      <c r="D226" t="s">
        <v>53</v>
      </c>
      <c r="H226" s="35">
        <v>0.9076157407407407</v>
      </c>
      <c r="I226" s="35">
        <v>0.25019675925925927</v>
      </c>
    </row>
    <row r="227" spans="1:9" x14ac:dyDescent="0.25">
      <c r="A227" s="34">
        <v>46122</v>
      </c>
      <c r="B227" s="14" t="s">
        <v>17</v>
      </c>
      <c r="C227" s="15" t="s">
        <v>18</v>
      </c>
      <c r="D227" t="s">
        <v>19</v>
      </c>
      <c r="H227" s="35">
        <f>VLOOKUP(B227,[10]IN!$A$1:$L$28,10,0)</f>
        <v>0.32317129629629632</v>
      </c>
      <c r="I227" s="35">
        <f>VLOOKUP(B227,[10]OUT!$A$3:$B$31,2,0)</f>
        <v>0.72950231481481476</v>
      </c>
    </row>
    <row r="228" spans="1:9" x14ac:dyDescent="0.25">
      <c r="A228" s="34">
        <v>46122</v>
      </c>
      <c r="B228" s="16" t="s">
        <v>22</v>
      </c>
      <c r="C228" s="17" t="s">
        <v>23</v>
      </c>
      <c r="D228" t="s">
        <v>19</v>
      </c>
      <c r="H228" s="35">
        <f>VLOOKUP(B228,[10]IN!$A$1:$L$28,10,0)</f>
        <v>0.24849537037037037</v>
      </c>
      <c r="I228" s="35">
        <f>VLOOKUP(B228,[10]OUT!$A$3:$B$31,2,0)</f>
        <v>0.70920138888888884</v>
      </c>
    </row>
    <row r="229" spans="1:9" x14ac:dyDescent="0.25">
      <c r="A229" s="34">
        <v>46122</v>
      </c>
      <c r="B229" s="16" t="s">
        <v>28</v>
      </c>
      <c r="C229" s="17" t="s">
        <v>29</v>
      </c>
      <c r="D229" t="s">
        <v>19</v>
      </c>
      <c r="H229" s="35">
        <f>VLOOKUP(B229,[10]IN!$A$1:$L$28,10,0)</f>
        <v>0.32590277777777776</v>
      </c>
      <c r="I229" s="35">
        <f>VLOOKUP(B229,[10]OUT!$A$3:$B$31,2,0)</f>
        <v>0.75861111111111112</v>
      </c>
    </row>
    <row r="230" spans="1:9" x14ac:dyDescent="0.25">
      <c r="A230" s="34">
        <v>46122</v>
      </c>
      <c r="B230" s="16" t="s">
        <v>30</v>
      </c>
      <c r="C230" s="17" t="s">
        <v>31</v>
      </c>
      <c r="D230" t="s">
        <v>19</v>
      </c>
      <c r="H230" s="35">
        <f>VLOOKUP(B230,[10]IN!$A$1:$L$28,10,0)</f>
        <v>0.34697916666666667</v>
      </c>
      <c r="I230" s="35">
        <f>VLOOKUP(B230,[10]OUT!$A$3:$B$31,2,0)</f>
        <v>0.73084490740740737</v>
      </c>
    </row>
    <row r="231" spans="1:9" x14ac:dyDescent="0.25">
      <c r="A231" s="34">
        <v>46122</v>
      </c>
      <c r="B231" s="16" t="s">
        <v>32</v>
      </c>
      <c r="C231" s="20" t="s">
        <v>33</v>
      </c>
      <c r="D231" t="s">
        <v>19</v>
      </c>
      <c r="H231" s="35">
        <f>VLOOKUP(B231,[10]IN!$A$1:$L$28,10,0)</f>
        <v>0.35488425925925932</v>
      </c>
      <c r="I231" s="35">
        <f>VLOOKUP(B231,[10]OUT!$A$3:$B$31,2,0)</f>
        <v>0.72934027777777777</v>
      </c>
    </row>
    <row r="232" spans="1:9" x14ac:dyDescent="0.25">
      <c r="A232" s="34">
        <v>46122</v>
      </c>
      <c r="B232" s="16" t="s">
        <v>34</v>
      </c>
      <c r="C232" s="17" t="s">
        <v>35</v>
      </c>
      <c r="D232" t="s">
        <v>19</v>
      </c>
      <c r="H232" s="35">
        <f>VLOOKUP(B232,[10]IN!$A$1:$L$28,10,0)</f>
        <v>0.32599537037037035</v>
      </c>
      <c r="I232" s="35">
        <f>VLOOKUP(B232,[10]OUT!$A$3:$B$31,2,0)</f>
        <v>0.72947916666666668</v>
      </c>
    </row>
    <row r="233" spans="1:9" x14ac:dyDescent="0.25">
      <c r="A233" s="34">
        <v>46122</v>
      </c>
      <c r="B233" s="16" t="s">
        <v>36</v>
      </c>
      <c r="C233" s="21" t="s">
        <v>37</v>
      </c>
      <c r="D233" t="s">
        <v>19</v>
      </c>
      <c r="H233" s="35">
        <f>VLOOKUP(B233,[10]IN!$A$1:$L$28,10,0)</f>
        <v>0.35005787037037034</v>
      </c>
      <c r="I233" s="35">
        <f>VLOOKUP(B233,[10]OUT!$A$3:$B$31,2,0)</f>
        <v>0.72957175925925932</v>
      </c>
    </row>
    <row r="234" spans="1:9" x14ac:dyDescent="0.25">
      <c r="A234" s="34">
        <v>46122</v>
      </c>
      <c r="B234" s="16" t="s">
        <v>38</v>
      </c>
      <c r="C234" s="21" t="s">
        <v>39</v>
      </c>
      <c r="D234" t="s">
        <v>19</v>
      </c>
      <c r="H234" s="35">
        <f>VLOOKUP(B234,[10]IN!$A$1:$L$28,10,0)</f>
        <v>0.32326388888888885</v>
      </c>
      <c r="I234" s="35">
        <f>VLOOKUP(B234,[10]OUT!$A$3:$B$31,2,0)</f>
        <v>0.72942129629629626</v>
      </c>
    </row>
    <row r="235" spans="1:9" x14ac:dyDescent="0.25">
      <c r="A235" s="34">
        <v>46122</v>
      </c>
      <c r="B235" s="16" t="s">
        <v>40</v>
      </c>
      <c r="C235" s="22" t="s">
        <v>41</v>
      </c>
      <c r="D235" t="s">
        <v>42</v>
      </c>
      <c r="H235" s="35">
        <f>VLOOKUP(B235,[10]IN!$A$1:$L$28,10,0)</f>
        <v>0.35013888888888883</v>
      </c>
      <c r="I235" s="35">
        <f>VLOOKUP(B235,[10]OUT!$A$3:$B$31,2,0)</f>
        <v>0.72931712962962969</v>
      </c>
    </row>
    <row r="236" spans="1:9" x14ac:dyDescent="0.25">
      <c r="A236" s="34">
        <v>46122</v>
      </c>
      <c r="B236" s="16" t="s">
        <v>43</v>
      </c>
      <c r="C236" s="23" t="s">
        <v>44</v>
      </c>
      <c r="D236" t="s">
        <v>42</v>
      </c>
      <c r="H236" s="35">
        <f>VLOOKUP(B236,[10]IN!$A$1:$L$28,10,0)</f>
        <v>0.57724537037037038</v>
      </c>
      <c r="I236" s="35">
        <f>VLOOKUP(B236,[10]OUT!$A$3:$B$31,2,0)</f>
        <v>0.91692129629629626</v>
      </c>
    </row>
    <row r="237" spans="1:9" x14ac:dyDescent="0.25">
      <c r="A237" s="34">
        <v>46122</v>
      </c>
      <c r="B237" s="16" t="s">
        <v>49</v>
      </c>
      <c r="C237" s="24" t="s">
        <v>50</v>
      </c>
      <c r="D237" t="s">
        <v>42</v>
      </c>
      <c r="H237" s="35">
        <f>VLOOKUP(B237,[10]IN!$A$1:$L$28,10,0)</f>
        <v>0.3608912037037037</v>
      </c>
      <c r="I237" s="35">
        <f>VLOOKUP(B237,[10]OUT!$A$3:$B$31,2,0)</f>
        <v>0.72972222222222216</v>
      </c>
    </row>
    <row r="238" spans="1:9" x14ac:dyDescent="0.25">
      <c r="A238" s="34">
        <v>46122</v>
      </c>
      <c r="B238" s="25" t="s">
        <v>51</v>
      </c>
      <c r="C238" s="26" t="s">
        <v>52</v>
      </c>
      <c r="D238" t="s">
        <v>53</v>
      </c>
      <c r="H238" s="35">
        <f>VLOOKUP(B238,[10]IN!$A$1:$L$28,10,0)</f>
        <v>0.36517361111111107</v>
      </c>
      <c r="I238" s="35">
        <f>VLOOKUP(B238,[10]OUT!$A$3:$B$31,2,0)</f>
        <v>0.72960648148148144</v>
      </c>
    </row>
    <row r="239" spans="1:9" x14ac:dyDescent="0.25">
      <c r="A239" s="34">
        <v>46122</v>
      </c>
      <c r="B239" s="25" t="s">
        <v>54</v>
      </c>
      <c r="C239" s="26" t="s">
        <v>55</v>
      </c>
      <c r="D239" t="s">
        <v>53</v>
      </c>
      <c r="H239" s="35">
        <f>VLOOKUP(B239,[10]IN!$A$1:$L$28,10,0)</f>
        <v>0.32664351851851853</v>
      </c>
      <c r="I239" s="35">
        <f>VLOOKUP(B239,[10]OUT!$A$3:$B$31,2,0)</f>
        <v>0.70871527777777776</v>
      </c>
    </row>
    <row r="240" spans="1:9" x14ac:dyDescent="0.25">
      <c r="A240" s="34">
        <v>46122</v>
      </c>
      <c r="B240" s="25" t="s">
        <v>62</v>
      </c>
      <c r="C240" s="30" t="s">
        <v>63</v>
      </c>
      <c r="D240" t="s">
        <v>53</v>
      </c>
      <c r="H240" s="35">
        <f>VLOOKUP(B240,[10]IN!$A$1:$L$28,10,0)</f>
        <v>0.35971064814814818</v>
      </c>
      <c r="I240" s="35">
        <f>VLOOKUP(B240,[10]OUT!$A$3:$B$31,2,0)</f>
        <v>0.73582175925925919</v>
      </c>
    </row>
    <row r="241" spans="1:9" x14ac:dyDescent="0.25">
      <c r="A241" s="34">
        <v>46122</v>
      </c>
      <c r="B241" s="25" t="s">
        <v>64</v>
      </c>
      <c r="C241" s="30" t="s">
        <v>65</v>
      </c>
      <c r="D241" t="s">
        <v>53</v>
      </c>
      <c r="H241" s="35">
        <f>VLOOKUP(B241,[10]IN!$A$1:$L$28,10,0)</f>
        <v>0.32306712962962963</v>
      </c>
      <c r="I241" s="35">
        <f>VLOOKUP(B241,[10]OUT!$A$3:$B$31,2,0)</f>
        <v>0.70909722222222227</v>
      </c>
    </row>
    <row r="242" spans="1:9" x14ac:dyDescent="0.25">
      <c r="A242" s="34">
        <v>46122</v>
      </c>
      <c r="B242" s="25" t="s">
        <v>66</v>
      </c>
      <c r="C242" s="31" t="s">
        <v>67</v>
      </c>
      <c r="D242" t="s">
        <v>53</v>
      </c>
      <c r="H242" s="35">
        <f>VLOOKUP(B242,[10]IN!$A$1:$L$28,10,0)</f>
        <v>0.35427083333333331</v>
      </c>
      <c r="I242" s="35">
        <f>VLOOKUP(B242,[10]OUT!$A$3:$B$31,2,0)</f>
        <v>0.72991898148148149</v>
      </c>
    </row>
    <row r="243" spans="1:9" x14ac:dyDescent="0.25">
      <c r="A243" s="34">
        <v>46122</v>
      </c>
      <c r="B243" s="25" t="s">
        <v>68</v>
      </c>
      <c r="C243" s="31" t="s">
        <v>69</v>
      </c>
      <c r="D243" t="s">
        <v>53</v>
      </c>
      <c r="H243" s="35">
        <f>VLOOKUP(B243,[10]IN!$A$1:$L$28,10,0)</f>
        <v>0.36001157407407408</v>
      </c>
      <c r="I243" s="35">
        <f>VLOOKUP(B243,[10]OUT!$A$3:$B$31,2,0)</f>
        <v>0.72921296296296301</v>
      </c>
    </row>
    <row r="244" spans="1:9" x14ac:dyDescent="0.25">
      <c r="A244" s="34">
        <v>46122</v>
      </c>
      <c r="B244" s="25" t="s">
        <v>70</v>
      </c>
      <c r="C244" s="32" t="s">
        <v>71</v>
      </c>
      <c r="D244" t="s">
        <v>53</v>
      </c>
      <c r="H244" s="35">
        <f>VLOOKUP(B244,[10]IN!$A$1:$L$28,10,0)</f>
        <v>0.32861111111111113</v>
      </c>
      <c r="I244" s="35">
        <f>VLOOKUP(B244,[10]OUT!$A$3:$B$31,2,0)</f>
        <v>0.7088078703703703</v>
      </c>
    </row>
    <row r="245" spans="1:9" x14ac:dyDescent="0.25">
      <c r="A245" s="34">
        <v>46122</v>
      </c>
      <c r="B245" s="25" t="s">
        <v>72</v>
      </c>
      <c r="C245" s="32" t="s">
        <v>73</v>
      </c>
      <c r="D245" t="s">
        <v>53</v>
      </c>
      <c r="H245" s="35">
        <f>VLOOKUP(B245,[10]IN!$A$1:$L$28,10,0)</f>
        <v>0.33584490740740741</v>
      </c>
      <c r="I245" s="35">
        <f>VLOOKUP(B245,[10]OUT!$A$3:$B$31,2,0)</f>
        <v>0.72953703703703709</v>
      </c>
    </row>
    <row r="246" spans="1:9" x14ac:dyDescent="0.25">
      <c r="A246" s="34">
        <v>46122</v>
      </c>
      <c r="B246" s="25" t="s">
        <v>76</v>
      </c>
      <c r="C246" s="30" t="s">
        <v>77</v>
      </c>
      <c r="D246" t="s">
        <v>53</v>
      </c>
      <c r="H246" s="35">
        <f>VLOOKUP(B246,[10]IN!$A$1:$L$28,10,0)</f>
        <v>0.57671296296296293</v>
      </c>
      <c r="I246" s="35">
        <f>VLOOKUP(B246,[10]OUT!$A$3:$B$31,2,0)</f>
        <v>0.9167939814814815</v>
      </c>
    </row>
    <row r="247" spans="1:9" x14ac:dyDescent="0.25">
      <c r="A247" s="34">
        <v>46122</v>
      </c>
      <c r="B247" s="25" t="s">
        <v>78</v>
      </c>
      <c r="C247" s="30" t="s">
        <v>79</v>
      </c>
      <c r="D247" t="s">
        <v>53</v>
      </c>
      <c r="H247" s="35">
        <f>VLOOKUP(B247,[10]IN!$A$1:$L$28,10,0)</f>
        <v>0.25236111111111109</v>
      </c>
      <c r="I247" s="35">
        <f>VLOOKUP(B247,[10]OUT!$A$3:$B$31,2,0)</f>
        <v>0.58339120370370368</v>
      </c>
    </row>
    <row r="248" spans="1:9" x14ac:dyDescent="0.25">
      <c r="A248" s="34">
        <v>46122</v>
      </c>
      <c r="B248" s="25" t="s">
        <v>80</v>
      </c>
      <c r="C248" s="27" t="s">
        <v>81</v>
      </c>
      <c r="D248" t="s">
        <v>53</v>
      </c>
      <c r="H248" s="35">
        <f>VLOOKUP(B248,[10]IN!$A$1:$L$28,10,0)</f>
        <v>0.59193287037037035</v>
      </c>
      <c r="I248" s="35">
        <f>VLOOKUP(B248,[10]OUT!$A$3:$B$31,2,0)</f>
        <v>0.9030555555555555</v>
      </c>
    </row>
    <row r="249" spans="1:9" x14ac:dyDescent="0.25">
      <c r="A249" s="34">
        <v>46122</v>
      </c>
      <c r="B249" s="18" t="s">
        <v>24</v>
      </c>
      <c r="C249" s="19" t="s">
        <v>25</v>
      </c>
      <c r="D249" t="s">
        <v>19</v>
      </c>
      <c r="H249" s="35">
        <v>0.78618055555555555</v>
      </c>
      <c r="I249" s="35">
        <v>0.25081018518518522</v>
      </c>
    </row>
    <row r="250" spans="1:9" x14ac:dyDescent="0.25">
      <c r="A250" s="34">
        <v>46122</v>
      </c>
      <c r="B250" s="16" t="s">
        <v>26</v>
      </c>
      <c r="C250" s="17" t="s">
        <v>27</v>
      </c>
      <c r="D250" t="s">
        <v>19</v>
      </c>
      <c r="H250" s="35">
        <v>0.78273148148148142</v>
      </c>
      <c r="I250" s="35">
        <v>0.2509953703703704</v>
      </c>
    </row>
    <row r="251" spans="1:9" x14ac:dyDescent="0.25">
      <c r="A251" s="34">
        <v>46122</v>
      </c>
      <c r="B251" s="16" t="s">
        <v>45</v>
      </c>
      <c r="C251" s="23" t="s">
        <v>46</v>
      </c>
      <c r="D251" t="s">
        <v>42</v>
      </c>
      <c r="H251" s="35">
        <v>0.90711805555555547</v>
      </c>
      <c r="I251" s="35">
        <v>0.25067129629629631</v>
      </c>
    </row>
    <row r="252" spans="1:9" x14ac:dyDescent="0.25">
      <c r="A252" s="34">
        <v>46122</v>
      </c>
      <c r="B252" s="25" t="s">
        <v>74</v>
      </c>
      <c r="C252" s="30" t="s">
        <v>75</v>
      </c>
      <c r="D252" t="s">
        <v>53</v>
      </c>
      <c r="H252" s="35">
        <v>0.90729166666666661</v>
      </c>
      <c r="I252" s="35">
        <v>0.25094907407407407</v>
      </c>
    </row>
    <row r="253" spans="1:9" x14ac:dyDescent="0.25">
      <c r="A253" s="34">
        <v>46123</v>
      </c>
      <c r="B253" s="14" t="s">
        <v>17</v>
      </c>
      <c r="C253" s="15" t="s">
        <v>18</v>
      </c>
      <c r="D253" t="s">
        <v>19</v>
      </c>
      <c r="H253" s="35">
        <f>VLOOKUP(B253,[11]IN!$A$1:$M$26,10,0)</f>
        <v>0.33012731481481478</v>
      </c>
      <c r="I253" s="35">
        <f>VLOOKUP(B253,[11]OUT!$A$3:$B$32,2,0)</f>
        <v>0.73232638888888879</v>
      </c>
    </row>
    <row r="254" spans="1:9" x14ac:dyDescent="0.25">
      <c r="A254" s="34">
        <v>46123</v>
      </c>
      <c r="B254" s="16" t="s">
        <v>20</v>
      </c>
      <c r="C254" s="17" t="s">
        <v>21</v>
      </c>
      <c r="D254" t="s">
        <v>19</v>
      </c>
      <c r="H254" s="35">
        <f>VLOOKUP(B254,[11]IN!$A$1:$M$26,10,0)</f>
        <v>0.33217592592592593</v>
      </c>
      <c r="I254" s="35">
        <f>VLOOKUP(B254,[11]OUT!$A$3:$B$32,2,0)</f>
        <v>0.79243055555555564</v>
      </c>
    </row>
    <row r="255" spans="1:9" x14ac:dyDescent="0.25">
      <c r="A255" s="34">
        <v>46123</v>
      </c>
      <c r="B255" s="16" t="s">
        <v>22</v>
      </c>
      <c r="C255" s="17" t="s">
        <v>23</v>
      </c>
      <c r="D255" t="s">
        <v>19</v>
      </c>
      <c r="H255" s="35">
        <f>VLOOKUP(B255,[11]IN!$A$1:$M$26,10,0)</f>
        <v>0.24680555555555558</v>
      </c>
      <c r="I255" s="35">
        <f>VLOOKUP(B255,[11]OUT!$A$3:$B$32,2,0)</f>
        <v>0.71273148148148147</v>
      </c>
    </row>
    <row r="256" spans="1:9" x14ac:dyDescent="0.25">
      <c r="A256" s="34">
        <v>46123</v>
      </c>
      <c r="B256" s="16" t="s">
        <v>30</v>
      </c>
      <c r="C256" s="17" t="s">
        <v>31</v>
      </c>
      <c r="D256" t="s">
        <v>19</v>
      </c>
      <c r="H256" s="35">
        <f>VLOOKUP(B256,[11]IN!$A$1:$M$26,10,0)</f>
        <v>0.34359953703703705</v>
      </c>
      <c r="I256" s="35">
        <f>VLOOKUP(B256,[11]OUT!$A$3:$B$32,2,0)</f>
        <v>0.73012731481481474</v>
      </c>
    </row>
    <row r="257" spans="1:9" x14ac:dyDescent="0.25">
      <c r="A257" s="34">
        <v>46123</v>
      </c>
      <c r="B257" s="16" t="s">
        <v>32</v>
      </c>
      <c r="C257" s="20" t="s">
        <v>33</v>
      </c>
      <c r="D257" t="s">
        <v>19</v>
      </c>
      <c r="H257" s="35">
        <f>VLOOKUP(B257,[11]IN!$A$1:$M$26,10,0)</f>
        <v>0.35934027777777783</v>
      </c>
      <c r="I257" s="35">
        <f>VLOOKUP(B257,[11]OUT!$A$3:$B$32,2,0)</f>
        <v>0.72936342592592596</v>
      </c>
    </row>
    <row r="258" spans="1:9" x14ac:dyDescent="0.25">
      <c r="A258" s="34">
        <v>46123</v>
      </c>
      <c r="B258" s="16" t="s">
        <v>34</v>
      </c>
      <c r="C258" s="17" t="s">
        <v>35</v>
      </c>
      <c r="D258" t="s">
        <v>19</v>
      </c>
      <c r="H258" s="35">
        <f>VLOOKUP(B258,[11]IN!$A$1:$M$26,10,0)</f>
        <v>0.34027777777777773</v>
      </c>
      <c r="I258" s="35">
        <f>VLOOKUP(B258,[11]OUT!$A$3:$B$32,2,0)</f>
        <v>0.72952546296296295</v>
      </c>
    </row>
    <row r="259" spans="1:9" x14ac:dyDescent="0.25">
      <c r="A259" s="34">
        <v>46123</v>
      </c>
      <c r="B259" s="16" t="s">
        <v>36</v>
      </c>
      <c r="C259" s="21" t="s">
        <v>37</v>
      </c>
      <c r="D259" t="s">
        <v>19</v>
      </c>
      <c r="H259" s="35">
        <f>VLOOKUP(B259,[11]IN!$A$1:$M$26,10,0)</f>
        <v>0.33549768518518519</v>
      </c>
      <c r="I259" s="35">
        <f>VLOOKUP(B259,[11]OUT!$A$3:$B$32,2,0)</f>
        <v>0.73223379629629637</v>
      </c>
    </row>
    <row r="260" spans="1:9" x14ac:dyDescent="0.25">
      <c r="A260" s="34">
        <v>46123</v>
      </c>
      <c r="B260" s="16" t="s">
        <v>38</v>
      </c>
      <c r="C260" s="21" t="s">
        <v>39</v>
      </c>
      <c r="D260" t="s">
        <v>19</v>
      </c>
      <c r="H260" s="35">
        <f>VLOOKUP(B260,[11]IN!$A$1:$M$26,10,0)</f>
        <v>0.33001157407407405</v>
      </c>
      <c r="I260" s="35">
        <f>VLOOKUP(B260,[11]OUT!$A$3:$B$32,2,0)</f>
        <v>0.73210648148148139</v>
      </c>
    </row>
    <row r="261" spans="1:9" x14ac:dyDescent="0.25">
      <c r="A261" s="34">
        <v>46123</v>
      </c>
      <c r="B261" s="16" t="s">
        <v>40</v>
      </c>
      <c r="C261" s="22" t="s">
        <v>41</v>
      </c>
      <c r="D261" t="s">
        <v>42</v>
      </c>
      <c r="H261" s="35">
        <f>VLOOKUP(B261,[11]IN!$A$1:$M$26,10,0)</f>
        <v>0.3482986111111111</v>
      </c>
      <c r="I261" s="35">
        <f>VLOOKUP(B261,[11]OUT!$A$3:$B$32,2,0)</f>
        <v>0.72971064814814823</v>
      </c>
    </row>
    <row r="262" spans="1:9" x14ac:dyDescent="0.25">
      <c r="A262" s="34">
        <v>46123</v>
      </c>
      <c r="B262" s="16" t="s">
        <v>43</v>
      </c>
      <c r="C262" s="23" t="s">
        <v>44</v>
      </c>
      <c r="D262" t="s">
        <v>42</v>
      </c>
      <c r="H262" s="35">
        <f>VLOOKUP(B262,[11]IN!$A$1:$M$26,10,0)</f>
        <v>0.57837962962962963</v>
      </c>
      <c r="I262" s="35">
        <f>VLOOKUP(B262,[11]OUT!$A$3:$B$32,2,0)</f>
        <v>0.91672453703703705</v>
      </c>
    </row>
    <row r="263" spans="1:9" x14ac:dyDescent="0.25">
      <c r="A263" s="34">
        <v>46123</v>
      </c>
      <c r="B263" s="16" t="s">
        <v>49</v>
      </c>
      <c r="C263" s="24" t="s">
        <v>50</v>
      </c>
      <c r="D263" t="s">
        <v>42</v>
      </c>
      <c r="H263" s="35">
        <f>VLOOKUP(B263,[11]IN!$A$1:$M$26,10,0)</f>
        <v>0.36283564814814812</v>
      </c>
      <c r="I263" s="35">
        <f>VLOOKUP(B263,[11]OUT!$A$3:$B$32,2,0)</f>
        <v>0.72951388888888891</v>
      </c>
    </row>
    <row r="264" spans="1:9" x14ac:dyDescent="0.25">
      <c r="A264" s="34">
        <v>46123</v>
      </c>
      <c r="B264" s="25" t="s">
        <v>51</v>
      </c>
      <c r="C264" s="26" t="s">
        <v>52</v>
      </c>
      <c r="D264" t="s">
        <v>53</v>
      </c>
      <c r="H264" s="35">
        <f>VLOOKUP(B264,[11]IN!$A$1:$M$26,10,0)</f>
        <v>0.34547453703703707</v>
      </c>
      <c r="I264" s="35">
        <f>VLOOKUP(B264,[11]OUT!$A$3:$B$32,2,0)</f>
        <v>0.72961805555555559</v>
      </c>
    </row>
    <row r="265" spans="1:9" x14ac:dyDescent="0.25">
      <c r="A265" s="34">
        <v>46123</v>
      </c>
      <c r="B265" s="25" t="s">
        <v>54</v>
      </c>
      <c r="C265" s="26" t="s">
        <v>55</v>
      </c>
      <c r="D265" t="s">
        <v>53</v>
      </c>
      <c r="H265" s="35">
        <f>VLOOKUP(B265,[11]IN!$A$1:$M$26,10,0)</f>
        <v>0.31921296296296298</v>
      </c>
      <c r="I265" s="35">
        <f>VLOOKUP(B265,[11]OUT!$A$3:$B$32,2,0)</f>
        <v>0.70942129629629624</v>
      </c>
    </row>
    <row r="266" spans="1:9" x14ac:dyDescent="0.25">
      <c r="A266" s="34">
        <v>46123</v>
      </c>
      <c r="B266" s="25" t="s">
        <v>58</v>
      </c>
      <c r="C266" s="28" t="s">
        <v>59</v>
      </c>
      <c r="D266" t="s">
        <v>53</v>
      </c>
      <c r="H266" s="35">
        <f>VLOOKUP(B266,[11]IN!$A$1:$M$26,10,0)</f>
        <v>0.34958333333333336</v>
      </c>
      <c r="I266" s="35">
        <f>VLOOKUP(B266,[11]OUT!$A$3:$B$32,2,0)</f>
        <v>0.72920138888888886</v>
      </c>
    </row>
    <row r="267" spans="1:9" x14ac:dyDescent="0.25">
      <c r="A267" s="34">
        <v>46123</v>
      </c>
      <c r="B267" s="25" t="s">
        <v>62</v>
      </c>
      <c r="C267" s="30" t="s">
        <v>63</v>
      </c>
      <c r="D267" t="s">
        <v>53</v>
      </c>
      <c r="H267" s="35">
        <f>VLOOKUP(B267,[11]IN!$A$1:$M$26,10,0)</f>
        <v>0.36833333333333335</v>
      </c>
      <c r="I267" s="35">
        <f>VLOOKUP(B267,[11]OUT!$A$3:$B$32,2,0)</f>
        <v>0.72990740740740734</v>
      </c>
    </row>
    <row r="268" spans="1:9" x14ac:dyDescent="0.25">
      <c r="A268" s="34">
        <v>46123</v>
      </c>
      <c r="B268" s="25" t="s">
        <v>64</v>
      </c>
      <c r="C268" s="30" t="s">
        <v>65</v>
      </c>
      <c r="D268" t="s">
        <v>53</v>
      </c>
      <c r="H268" s="35">
        <f>VLOOKUP(B268,[11]IN!$A$1:$M$26,10,0)</f>
        <v>0.32993055555555556</v>
      </c>
      <c r="I268" s="35">
        <f>VLOOKUP(B268,[11]OUT!$A$3:$B$32,2,0)</f>
        <v>0.70908564814814812</v>
      </c>
    </row>
    <row r="269" spans="1:9" x14ac:dyDescent="0.25">
      <c r="A269" s="34">
        <v>46123</v>
      </c>
      <c r="B269" s="25" t="s">
        <v>66</v>
      </c>
      <c r="C269" s="31" t="s">
        <v>67</v>
      </c>
      <c r="D269" t="s">
        <v>53</v>
      </c>
      <c r="H269" s="35">
        <f>VLOOKUP(B269,[11]IN!$A$1:$M$26,10,0)</f>
        <v>0.34556712962962965</v>
      </c>
      <c r="I269" s="35">
        <f>VLOOKUP(B269,[11]OUT!$A$3:$B$32,2,0)</f>
        <v>0.72945601851851849</v>
      </c>
    </row>
    <row r="270" spans="1:9" x14ac:dyDescent="0.25">
      <c r="A270" s="34">
        <v>46123</v>
      </c>
      <c r="B270" s="25" t="s">
        <v>68</v>
      </c>
      <c r="C270" s="31" t="s">
        <v>69</v>
      </c>
      <c r="D270" t="s">
        <v>53</v>
      </c>
      <c r="H270" s="35">
        <f>VLOOKUP(B270,[11]IN!$A$1:$M$26,10,0)</f>
        <v>0.36141203703703706</v>
      </c>
      <c r="I270" s="35">
        <f>VLOOKUP(B270,[11]OUT!$A$3:$B$32,2,0)</f>
        <v>0.72982638888888884</v>
      </c>
    </row>
    <row r="271" spans="1:9" x14ac:dyDescent="0.25">
      <c r="A271" s="34">
        <v>46123</v>
      </c>
      <c r="B271" s="25" t="s">
        <v>70</v>
      </c>
      <c r="C271" s="32" t="s">
        <v>71</v>
      </c>
      <c r="D271" t="s">
        <v>53</v>
      </c>
      <c r="H271" s="35">
        <f>VLOOKUP(B271,[11]IN!$A$1:$M$26,10,0)</f>
        <v>0.32386574074074076</v>
      </c>
      <c r="I271" s="35">
        <f>VLOOKUP(B271,[11]OUT!$A$3:$B$32,2,0)</f>
        <v>0.70922453703703703</v>
      </c>
    </row>
    <row r="272" spans="1:9" x14ac:dyDescent="0.25">
      <c r="A272" s="34">
        <v>46123</v>
      </c>
      <c r="B272" s="25" t="s">
        <v>72</v>
      </c>
      <c r="C272" s="32" t="s">
        <v>73</v>
      </c>
      <c r="D272" t="s">
        <v>53</v>
      </c>
      <c r="H272" s="35">
        <f>VLOOKUP(B272,[11]IN!$A$1:$M$26,10,0)</f>
        <v>0.34039351851851851</v>
      </c>
      <c r="I272" s="35">
        <f>VLOOKUP(B272,[11]OUT!$A$3:$B$32,2,0)</f>
        <v>0.72932870370370362</v>
      </c>
    </row>
    <row r="273" spans="1:9" x14ac:dyDescent="0.25">
      <c r="A273" s="34">
        <v>46123</v>
      </c>
      <c r="B273" s="25" t="s">
        <v>76</v>
      </c>
      <c r="C273" s="30" t="s">
        <v>77</v>
      </c>
      <c r="D273" t="s">
        <v>53</v>
      </c>
      <c r="H273" s="35">
        <f>VLOOKUP(B273,[11]IN!$A$1:$M$26,10,0)</f>
        <v>0.24664351851851851</v>
      </c>
      <c r="I273" s="35">
        <f>VLOOKUP(B273,[11]OUT!$A$3:$B$32,2,0)</f>
        <v>0.58337962962962964</v>
      </c>
    </row>
    <row r="274" spans="1:9" x14ac:dyDescent="0.25">
      <c r="A274" s="34">
        <v>46123</v>
      </c>
      <c r="B274" s="25" t="s">
        <v>78</v>
      </c>
      <c r="C274" s="30" t="s">
        <v>79</v>
      </c>
      <c r="D274" t="s">
        <v>53</v>
      </c>
      <c r="H274" s="35">
        <f>VLOOKUP(B274,[11]IN!$A$1:$M$26,10,0)</f>
        <v>0.58596064814814819</v>
      </c>
      <c r="I274" s="35">
        <f>VLOOKUP(B274,[11]OUT!$A$3:$B$32,2,0)</f>
        <v>0.91053240740740737</v>
      </c>
    </row>
    <row r="275" spans="1:9" x14ac:dyDescent="0.25">
      <c r="A275" s="34">
        <v>46123</v>
      </c>
      <c r="B275" s="18" t="s">
        <v>24</v>
      </c>
      <c r="C275" s="19" t="s">
        <v>25</v>
      </c>
      <c r="D275" t="s">
        <v>19</v>
      </c>
      <c r="H275" s="35">
        <v>0.78954861111111108</v>
      </c>
      <c r="I275" s="35">
        <f>VLOOKUP(B275,[12]OUT!$A$3:$B$16,2,0)</f>
        <v>0.25072916666666667</v>
      </c>
    </row>
    <row r="276" spans="1:9" x14ac:dyDescent="0.25">
      <c r="A276" s="34">
        <v>46123</v>
      </c>
      <c r="B276" s="16" t="s">
        <v>26</v>
      </c>
      <c r="C276" s="17" t="s">
        <v>27</v>
      </c>
      <c r="D276" t="s">
        <v>19</v>
      </c>
      <c r="H276" s="35">
        <v>0.78092592592592591</v>
      </c>
      <c r="I276" s="35">
        <f>VLOOKUP(B276,[12]OUT!$A$3:$B$16,2,0)</f>
        <v>0.25049768518518517</v>
      </c>
    </row>
    <row r="277" spans="1:9" x14ac:dyDescent="0.25">
      <c r="A277" s="34">
        <v>46124</v>
      </c>
      <c r="B277" s="18" t="s">
        <v>24</v>
      </c>
      <c r="C277" s="19" t="s">
        <v>25</v>
      </c>
      <c r="D277" t="s">
        <v>19</v>
      </c>
      <c r="H277" s="35">
        <f>VLOOKUP(B277,[12]IN!$A$1:$M$12,10,0)</f>
        <v>0.78874999999999995</v>
      </c>
      <c r="I277" s="35">
        <f>VLOOKUP(B277,[12]OUT!$A$3:$B$16,2,0)</f>
        <v>0.25072916666666667</v>
      </c>
    </row>
    <row r="278" spans="1:9" x14ac:dyDescent="0.25">
      <c r="A278" s="34">
        <v>46124</v>
      </c>
      <c r="B278" s="16" t="s">
        <v>28</v>
      </c>
      <c r="C278" s="17" t="s">
        <v>29</v>
      </c>
      <c r="D278" t="s">
        <v>19</v>
      </c>
      <c r="H278" s="35">
        <f>VLOOKUP(B278,[12]IN!$A$1:$M$12,10,0)</f>
        <v>0.24869212962962961</v>
      </c>
      <c r="I278" s="35">
        <f>VLOOKUP(B278,[12]OUT!$A$3:$B$16,2,0)</f>
        <v>0.71289351851851857</v>
      </c>
    </row>
    <row r="279" spans="1:9" x14ac:dyDescent="0.25">
      <c r="A279" s="34">
        <v>46124</v>
      </c>
      <c r="B279" s="16" t="s">
        <v>43</v>
      </c>
      <c r="C279" s="23" t="s">
        <v>44</v>
      </c>
      <c r="D279" t="s">
        <v>42</v>
      </c>
      <c r="H279" s="35">
        <f>VLOOKUP(B279,[12]IN!$A$1:$M$12,10,0)</f>
        <v>0.35319444444444442</v>
      </c>
      <c r="I279" s="35">
        <f>VLOOKUP(B279,[12]OUT!$A$3:$B$16,2,0)</f>
        <v>0.72988425925925926</v>
      </c>
    </row>
    <row r="280" spans="1:9" x14ac:dyDescent="0.25">
      <c r="A280" s="34">
        <v>46124</v>
      </c>
      <c r="B280" s="25" t="s">
        <v>56</v>
      </c>
      <c r="C280" s="27" t="s">
        <v>57</v>
      </c>
      <c r="D280" t="s">
        <v>53</v>
      </c>
      <c r="H280" s="35">
        <f>VLOOKUP(B280,[12]IN!$A$1:$M$12,10,0)</f>
        <v>0.35857638888888888</v>
      </c>
      <c r="I280" s="35">
        <f>VLOOKUP(B280,[12]OUT!$A$3:$B$16,2,0)</f>
        <v>0.72972222222222216</v>
      </c>
    </row>
    <row r="281" spans="1:9" x14ac:dyDescent="0.25">
      <c r="A281" s="34">
        <v>46124</v>
      </c>
      <c r="B281" s="25" t="s">
        <v>58</v>
      </c>
      <c r="C281" s="28" t="s">
        <v>59</v>
      </c>
      <c r="D281" t="s">
        <v>53</v>
      </c>
      <c r="H281" s="35">
        <f>VLOOKUP(B281,[12]IN!$A$1:$M$12,10,0)</f>
        <v>0.33424768518518522</v>
      </c>
      <c r="I281" s="35">
        <f>VLOOKUP(B281,[12]OUT!$A$3:$B$16,2,0)</f>
        <v>0.70835648148148145</v>
      </c>
    </row>
    <row r="282" spans="1:9" x14ac:dyDescent="0.25">
      <c r="A282" s="34">
        <v>46124</v>
      </c>
      <c r="B282" s="25" t="s">
        <v>62</v>
      </c>
      <c r="C282" s="30" t="s">
        <v>63</v>
      </c>
      <c r="D282" t="s">
        <v>53</v>
      </c>
      <c r="H282" s="35">
        <f>VLOOKUP(B282,[12]IN!$A$1:$M$12,10,0)</f>
        <v>0.35788194444444449</v>
      </c>
      <c r="I282" s="35">
        <f>VLOOKUP(B282,[12]OUT!$A$3:$B$16,2,0)</f>
        <v>0.72957175925925932</v>
      </c>
    </row>
    <row r="283" spans="1:9" x14ac:dyDescent="0.25">
      <c r="A283" s="34">
        <v>46124</v>
      </c>
      <c r="B283" s="25" t="s">
        <v>64</v>
      </c>
      <c r="C283" s="30" t="s">
        <v>65</v>
      </c>
      <c r="D283" t="s">
        <v>53</v>
      </c>
      <c r="H283" s="35">
        <f>VLOOKUP(B283,[12]IN!$A$1:$M$12,10,0)</f>
        <v>0.32988425925925924</v>
      </c>
      <c r="I283" s="35">
        <f>VLOOKUP(B283,[12]OUT!$A$3:$B$16,2,0)</f>
        <v>0.71827546296296296</v>
      </c>
    </row>
    <row r="284" spans="1:9" x14ac:dyDescent="0.25">
      <c r="A284" s="34">
        <v>46124</v>
      </c>
      <c r="B284" s="25" t="s">
        <v>76</v>
      </c>
      <c r="C284" s="30" t="s">
        <v>77</v>
      </c>
      <c r="D284" t="s">
        <v>53</v>
      </c>
      <c r="H284" s="35">
        <f>VLOOKUP(B284,[12]IN!$A$1:$M$12,10,0)</f>
        <v>0.24449074074074073</v>
      </c>
      <c r="I284" s="35">
        <f>VLOOKUP(B284,[12]OUT!$A$3:$B$16,2,0)</f>
        <v>0.58339120370370368</v>
      </c>
    </row>
    <row r="285" spans="1:9" x14ac:dyDescent="0.25">
      <c r="A285" s="34">
        <v>46124</v>
      </c>
      <c r="B285" s="25" t="s">
        <v>78</v>
      </c>
      <c r="C285" s="30" t="s">
        <v>79</v>
      </c>
      <c r="D285" t="s">
        <v>53</v>
      </c>
      <c r="H285" s="35">
        <f>VLOOKUP(B285,[12]IN!$A$1:$M$12,10,0)</f>
        <v>0.56949074074074069</v>
      </c>
      <c r="I285" s="35">
        <f>VLOOKUP(B285,[12]OUT!$A$3:$B$16,2,0)</f>
        <v>0.88436342592592598</v>
      </c>
    </row>
    <row r="286" spans="1:9" x14ac:dyDescent="0.25">
      <c r="A286" s="34">
        <v>46124</v>
      </c>
      <c r="B286" s="25" t="s">
        <v>80</v>
      </c>
      <c r="C286" s="27" t="s">
        <v>81</v>
      </c>
      <c r="D286" t="s">
        <v>53</v>
      </c>
      <c r="H286" s="35">
        <f>VLOOKUP(B286,[12]IN!$A$1:$M$12,10,0)</f>
        <v>0.61476851851851855</v>
      </c>
      <c r="I286" s="35" t="e">
        <f>VLOOKUP(B286,[12]OUT!$A$3:$B$16,2,0)</f>
        <v>#N/A</v>
      </c>
    </row>
    <row r="287" spans="1:9" x14ac:dyDescent="0.25">
      <c r="A287" s="34">
        <v>46124</v>
      </c>
      <c r="B287" s="16" t="s">
        <v>45</v>
      </c>
      <c r="C287" s="23" t="s">
        <v>46</v>
      </c>
      <c r="D287" t="s">
        <v>42</v>
      </c>
      <c r="H287" s="35">
        <v>0.90537037037037038</v>
      </c>
      <c r="I287" s="35">
        <f>VLOOKUP(B287,[13]OUT!$A$3:$B$27,2,0)</f>
        <v>0.2519791666666667</v>
      </c>
    </row>
    <row r="288" spans="1:9" x14ac:dyDescent="0.25">
      <c r="A288" s="34">
        <v>46125</v>
      </c>
      <c r="B288" s="14" t="s">
        <v>17</v>
      </c>
      <c r="C288" s="15" t="s">
        <v>18</v>
      </c>
      <c r="D288" t="s">
        <v>19</v>
      </c>
      <c r="H288" s="35">
        <f>VLOOKUP(B288,[13]IN!$A$1:$L$26,10,0)</f>
        <v>0.32960648148148147</v>
      </c>
      <c r="I288" s="35">
        <f>VLOOKUP(B288,[13]OUT!$A$3:$B$27,2,0)</f>
        <v>0.72932870370370362</v>
      </c>
    </row>
    <row r="289" spans="1:9" x14ac:dyDescent="0.25">
      <c r="A289" s="34">
        <v>46125</v>
      </c>
      <c r="B289" s="16" t="s">
        <v>20</v>
      </c>
      <c r="C289" s="17" t="s">
        <v>21</v>
      </c>
      <c r="D289" t="s">
        <v>19</v>
      </c>
      <c r="H289" s="35">
        <f>VLOOKUP(B289,[13]IN!$A$1:$L$26,10,0)</f>
        <v>0.33263888888888887</v>
      </c>
      <c r="I289" s="35">
        <f>VLOOKUP(B289,[13]OUT!$A$3:$B$27,2,0)</f>
        <v>0.79265046296296304</v>
      </c>
    </row>
    <row r="290" spans="1:9" x14ac:dyDescent="0.25">
      <c r="A290" s="34">
        <v>46125</v>
      </c>
      <c r="B290" s="16" t="s">
        <v>26</v>
      </c>
      <c r="C290" s="17" t="s">
        <v>27</v>
      </c>
      <c r="D290" t="s">
        <v>19</v>
      </c>
      <c r="H290" s="35">
        <f>VLOOKUP(B290,[13]IN!$A$1:$L$26,10,0)</f>
        <v>0.25807870370370373</v>
      </c>
      <c r="I290" s="35">
        <f>VLOOKUP(B290,[13]OUT!$A$3:$B$27,2,0)</f>
        <v>0.7093287037037036</v>
      </c>
    </row>
    <row r="291" spans="1:9" x14ac:dyDescent="0.25">
      <c r="A291" s="34">
        <v>46125</v>
      </c>
      <c r="B291" s="16" t="s">
        <v>30</v>
      </c>
      <c r="C291" s="17" t="s">
        <v>31</v>
      </c>
      <c r="D291" t="s">
        <v>19</v>
      </c>
      <c r="H291" s="35">
        <f>VLOOKUP(B291,[13]IN!$A$1:$L$26,10,0)</f>
        <v>0.34532407407407412</v>
      </c>
      <c r="I291" s="35">
        <f>VLOOKUP(B291,[13]OUT!$A$3:$B$27,2,0)</f>
        <v>0.72922453703703705</v>
      </c>
    </row>
    <row r="292" spans="1:9" x14ac:dyDescent="0.25">
      <c r="A292" s="34">
        <v>46125</v>
      </c>
      <c r="B292" s="16" t="s">
        <v>32</v>
      </c>
      <c r="C292" s="20" t="s">
        <v>33</v>
      </c>
      <c r="D292" t="s">
        <v>19</v>
      </c>
      <c r="H292" s="35">
        <f>VLOOKUP(B292,[13]IN!$A$1:$L$26,10,0)</f>
        <v>0.35237268518518516</v>
      </c>
      <c r="I292" s="35">
        <f>VLOOKUP(B292,[13]OUT!$A$3:$B$27,2,0)</f>
        <v>0.72918981481481471</v>
      </c>
    </row>
    <row r="293" spans="1:9" x14ac:dyDescent="0.25">
      <c r="A293" s="34">
        <v>46125</v>
      </c>
      <c r="B293" s="16" t="s">
        <v>34</v>
      </c>
      <c r="C293" s="17" t="s">
        <v>35</v>
      </c>
      <c r="D293" t="s">
        <v>19</v>
      </c>
      <c r="H293" s="35">
        <f>VLOOKUP(B293,[13]IN!$A$1:$L$26,10,0)</f>
        <v>0.34636574074074072</v>
      </c>
      <c r="I293" s="35">
        <f>VLOOKUP(B293,[13]OUT!$A$3:$B$27,2,0)</f>
        <v>0.72931712962962969</v>
      </c>
    </row>
    <row r="294" spans="1:9" x14ac:dyDescent="0.25">
      <c r="A294" s="34">
        <v>46125</v>
      </c>
      <c r="B294" s="16" t="s">
        <v>36</v>
      </c>
      <c r="C294" s="21" t="s">
        <v>37</v>
      </c>
      <c r="D294" t="s">
        <v>19</v>
      </c>
      <c r="H294" s="35">
        <f>VLOOKUP(B294,[13]IN!$A$1:$L$26,10,0)</f>
        <v>0.34765046296296293</v>
      </c>
      <c r="I294" s="35">
        <f>VLOOKUP(B294,[13]OUT!$A$3:$B$27,2,0)</f>
        <v>0.72939814814814818</v>
      </c>
    </row>
    <row r="295" spans="1:9" x14ac:dyDescent="0.25">
      <c r="A295" s="34">
        <v>46125</v>
      </c>
      <c r="B295" s="16" t="s">
        <v>38</v>
      </c>
      <c r="C295" s="21" t="s">
        <v>39</v>
      </c>
      <c r="D295" t="s">
        <v>19</v>
      </c>
      <c r="H295" s="35">
        <f>VLOOKUP(B295,[13]IN!$A$1:$L$26,10,0)</f>
        <v>0.32976851851851852</v>
      </c>
      <c r="I295" s="35">
        <f>VLOOKUP(B295,[13]OUT!$A$3:$B$27,2,0)</f>
        <v>0.72925925925925927</v>
      </c>
    </row>
    <row r="296" spans="1:9" x14ac:dyDescent="0.25">
      <c r="A296" s="34">
        <v>46125</v>
      </c>
      <c r="B296" s="16" t="s">
        <v>40</v>
      </c>
      <c r="C296" s="22" t="s">
        <v>41</v>
      </c>
      <c r="D296" t="s">
        <v>42</v>
      </c>
      <c r="H296" s="35">
        <f>VLOOKUP(B296,[13]IN!$A$1:$L$26,10,0)</f>
        <v>0.34781250000000002</v>
      </c>
      <c r="I296" s="35">
        <f>VLOOKUP(B296,[13]OUT!$A$3:$B$27,2,0)</f>
        <v>0.72966435185185186</v>
      </c>
    </row>
    <row r="297" spans="1:9" x14ac:dyDescent="0.25">
      <c r="A297" s="34">
        <v>46125</v>
      </c>
      <c r="B297" s="16" t="s">
        <v>43</v>
      </c>
      <c r="C297" s="23" t="s">
        <v>44</v>
      </c>
      <c r="D297" t="s">
        <v>42</v>
      </c>
      <c r="H297" s="35">
        <f>VLOOKUP(B297,[13]IN!$A$1:$L$26,10,0)</f>
        <v>0.57908564814814811</v>
      </c>
      <c r="I297" s="35">
        <f>VLOOKUP(B297,[13]OUT!$A$3:$B$27,2,0)</f>
        <v>0.91693287037037041</v>
      </c>
    </row>
    <row r="298" spans="1:9" x14ac:dyDescent="0.25">
      <c r="A298" s="34">
        <v>46125</v>
      </c>
      <c r="B298" s="16" t="s">
        <v>49</v>
      </c>
      <c r="C298" s="24" t="s">
        <v>50</v>
      </c>
      <c r="D298" t="s">
        <v>42</v>
      </c>
      <c r="H298" s="35">
        <f>VLOOKUP(B298,[13]IN!$A$1:$L$26,10,0)</f>
        <v>0.36283564814814812</v>
      </c>
      <c r="I298" s="35">
        <f>VLOOKUP(B298,[13]OUT!$A$3:$B$27,2,0)</f>
        <v>0.84020833333333333</v>
      </c>
    </row>
    <row r="299" spans="1:9" x14ac:dyDescent="0.25">
      <c r="A299" s="34">
        <v>46125</v>
      </c>
      <c r="B299" s="25" t="s">
        <v>54</v>
      </c>
      <c r="C299" s="26" t="s">
        <v>55</v>
      </c>
      <c r="D299" t="s">
        <v>53</v>
      </c>
      <c r="H299" s="35">
        <f>VLOOKUP(B299,[13]IN!$A$1:$L$26,10,0)</f>
        <v>0.30865740740740738</v>
      </c>
      <c r="I299" s="35">
        <f>VLOOKUP(B299,[13]OUT!$A$3:$B$27,2,0)</f>
        <v>0.70869212962962969</v>
      </c>
    </row>
    <row r="300" spans="1:9" x14ac:dyDescent="0.25">
      <c r="A300" s="34">
        <v>46125</v>
      </c>
      <c r="B300" s="25" t="s">
        <v>56</v>
      </c>
      <c r="C300" s="27" t="s">
        <v>57</v>
      </c>
      <c r="D300" t="s">
        <v>53</v>
      </c>
      <c r="H300" s="35">
        <f>VLOOKUP(B300,[13]IN!$A$1:$L$26,10,0)</f>
        <v>0.35766203703703708</v>
      </c>
      <c r="I300" s="35">
        <f>VLOOKUP(B300,[13]OUT!$A$3:$B$27,2,0)</f>
        <v>0.72939814814814818</v>
      </c>
    </row>
    <row r="301" spans="1:9" x14ac:dyDescent="0.25">
      <c r="A301" s="34">
        <v>46125</v>
      </c>
      <c r="B301" s="25" t="s">
        <v>58</v>
      </c>
      <c r="C301" s="28" t="s">
        <v>59</v>
      </c>
      <c r="D301" t="s">
        <v>53</v>
      </c>
      <c r="H301" s="35">
        <f>VLOOKUP(B301,[13]IN!$A$1:$L$26,10,0)</f>
        <v>0.34041666666666665</v>
      </c>
      <c r="I301" s="35">
        <f>VLOOKUP(B301,[13]OUT!$A$3:$B$27,2,0)</f>
        <v>0.72934027777777777</v>
      </c>
    </row>
    <row r="302" spans="1:9" x14ac:dyDescent="0.25">
      <c r="A302" s="34">
        <v>46125</v>
      </c>
      <c r="B302" s="25" t="s">
        <v>66</v>
      </c>
      <c r="C302" s="31" t="s">
        <v>67</v>
      </c>
      <c r="D302" t="s">
        <v>53</v>
      </c>
      <c r="H302" s="35">
        <f>VLOOKUP(B302,[13]IN!$A$1:$L$26,10,0)</f>
        <v>0.33201388888888889</v>
      </c>
      <c r="I302" s="35">
        <f>VLOOKUP(B302,[13]OUT!$A$3:$B$27,2,0)</f>
        <v>0.72951388888888891</v>
      </c>
    </row>
    <row r="303" spans="1:9" x14ac:dyDescent="0.25">
      <c r="A303" s="34">
        <v>46125</v>
      </c>
      <c r="B303" s="25" t="s">
        <v>70</v>
      </c>
      <c r="C303" s="32" t="s">
        <v>71</v>
      </c>
      <c r="D303" t="s">
        <v>53</v>
      </c>
      <c r="H303" s="35">
        <f>VLOOKUP(B303,[13]IN!$A$1:$L$26,10,0)</f>
        <v>0.29607638888888888</v>
      </c>
      <c r="I303" s="35">
        <f>VLOOKUP(B303,[13]OUT!$A$3:$B$27,2,0)</f>
        <v>0.7085300925925927</v>
      </c>
    </row>
    <row r="304" spans="1:9" x14ac:dyDescent="0.25">
      <c r="A304" s="34">
        <v>46125</v>
      </c>
      <c r="B304" s="25" t="s">
        <v>72</v>
      </c>
      <c r="C304" s="32" t="s">
        <v>73</v>
      </c>
      <c r="D304" t="s">
        <v>53</v>
      </c>
      <c r="H304" s="35">
        <f>VLOOKUP(B304,[13]IN!$A$1:$L$26,10,0)</f>
        <v>0.33751157407407412</v>
      </c>
      <c r="I304" s="35">
        <f>VLOOKUP(B304,[13]OUT!$A$3:$B$27,2,0)</f>
        <v>0.72946759259259253</v>
      </c>
    </row>
    <row r="305" spans="1:9" x14ac:dyDescent="0.25">
      <c r="A305" s="34">
        <v>46125</v>
      </c>
      <c r="B305" s="25" t="s">
        <v>74</v>
      </c>
      <c r="C305" s="30" t="s">
        <v>75</v>
      </c>
      <c r="D305" t="s">
        <v>53</v>
      </c>
      <c r="H305" s="35">
        <f>VLOOKUP(B305,[13]IN!$A$1:$L$26,10,0)</f>
        <v>0.41723379629629626</v>
      </c>
      <c r="I305" s="35">
        <f>VLOOKUP(B305,[13]OUT!$A$3:$B$27,2,0)</f>
        <v>0.79194444444444445</v>
      </c>
    </row>
    <row r="306" spans="1:9" x14ac:dyDescent="0.25">
      <c r="A306" s="34">
        <v>46125</v>
      </c>
      <c r="B306" s="25" t="s">
        <v>76</v>
      </c>
      <c r="C306" s="30" t="s">
        <v>77</v>
      </c>
      <c r="D306" t="s">
        <v>53</v>
      </c>
      <c r="H306" s="35">
        <f>VLOOKUP(B306,[13]IN!$A$1:$L$26,10,0)</f>
        <v>0.57429398148148147</v>
      </c>
      <c r="I306" s="35">
        <f>VLOOKUP(B306,[13]OUT!$A$3:$B$27,2,0)</f>
        <v>0.91681712962962969</v>
      </c>
    </row>
    <row r="307" spans="1:9" x14ac:dyDescent="0.25">
      <c r="A307" s="34">
        <v>46125</v>
      </c>
      <c r="B307" s="25" t="s">
        <v>80</v>
      </c>
      <c r="C307" s="27" t="s">
        <v>81</v>
      </c>
      <c r="D307" t="s">
        <v>53</v>
      </c>
      <c r="H307" s="35">
        <f>VLOOKUP(B307,[13]IN!$A$1:$L$26,10,0)</f>
        <v>0.60303240740740738</v>
      </c>
      <c r="I307" s="35">
        <f>VLOOKUP(B307,[13]OUT!$A$3:$B$27,2,0)</f>
        <v>0.91718749999999993</v>
      </c>
    </row>
    <row r="308" spans="1:9" x14ac:dyDescent="0.25">
      <c r="A308" s="34">
        <v>46125</v>
      </c>
      <c r="B308" s="16" t="s">
        <v>28</v>
      </c>
      <c r="C308" s="17" t="s">
        <v>29</v>
      </c>
      <c r="D308" t="s">
        <v>19</v>
      </c>
      <c r="H308" s="35">
        <v>0.78853009259259255</v>
      </c>
      <c r="I308" s="35">
        <f>VLOOKUP(B308,[14]OUT!$A$3:$B$26,2,0)</f>
        <v>0.2502314814814815</v>
      </c>
    </row>
    <row r="309" spans="1:9" x14ac:dyDescent="0.25">
      <c r="A309" s="34">
        <v>46125</v>
      </c>
      <c r="B309" s="16" t="s">
        <v>45</v>
      </c>
      <c r="C309" s="23" t="s">
        <v>46</v>
      </c>
      <c r="D309" t="s">
        <v>42</v>
      </c>
      <c r="H309" s="35">
        <v>0.90648148148148155</v>
      </c>
      <c r="I309" s="35">
        <f>VLOOKUP(B309,[14]OUT!$A$3:$B$26,2,0)</f>
        <v>0.25006944444444446</v>
      </c>
    </row>
    <row r="310" spans="1:9" x14ac:dyDescent="0.25">
      <c r="A310" s="34">
        <v>46126</v>
      </c>
      <c r="B310" s="14" t="s">
        <v>17</v>
      </c>
      <c r="C310" s="15" t="s">
        <v>18</v>
      </c>
      <c r="D310" t="s">
        <v>19</v>
      </c>
      <c r="H310" s="35">
        <f>VLOOKUP(B310,[14]IN!$A$1:$L$22,10,0)</f>
        <v>0.33675925925925926</v>
      </c>
      <c r="I310" s="35">
        <f>VLOOKUP(B310,[14]OUT!$A$3:$B$26,2,0)</f>
        <v>0.73423611111111109</v>
      </c>
    </row>
    <row r="311" spans="1:9" x14ac:dyDescent="0.25">
      <c r="A311" s="34">
        <v>46126</v>
      </c>
      <c r="B311" s="16" t="s">
        <v>20</v>
      </c>
      <c r="C311" s="17" t="s">
        <v>21</v>
      </c>
      <c r="D311" t="s">
        <v>19</v>
      </c>
      <c r="H311" s="35">
        <f>VLOOKUP(B311,[14]IN!$A$1:$L$22,10,0)</f>
        <v>0.58038194444444446</v>
      </c>
      <c r="I311" s="35">
        <f>VLOOKUP(B311,[14]OUT!$A$3:$B$26,2,0)</f>
        <v>0.91809027777777785</v>
      </c>
    </row>
    <row r="312" spans="1:9" x14ac:dyDescent="0.25">
      <c r="A312" s="34">
        <v>46126</v>
      </c>
      <c r="B312" s="18" t="s">
        <v>24</v>
      </c>
      <c r="C312" s="19" t="s">
        <v>25</v>
      </c>
      <c r="D312" t="s">
        <v>19</v>
      </c>
      <c r="H312" s="35">
        <f>VLOOKUP(B312,[14]IN!$A$1:$L$22,10,0)</f>
        <v>0.41596064814814815</v>
      </c>
      <c r="I312" s="35">
        <f>VLOOKUP(B312,[14]OUT!$A$3:$B$26,2,0)</f>
        <v>0.70877314814814818</v>
      </c>
    </row>
    <row r="313" spans="1:9" x14ac:dyDescent="0.25">
      <c r="A313" s="34">
        <v>46126</v>
      </c>
      <c r="B313" s="16" t="s">
        <v>26</v>
      </c>
      <c r="C313" s="17" t="s">
        <v>27</v>
      </c>
      <c r="D313" t="s">
        <v>19</v>
      </c>
      <c r="H313" s="35">
        <f>VLOOKUP(B313,[14]IN!$A$1:$L$22,10,0)</f>
        <v>0.25591435185185185</v>
      </c>
      <c r="I313" s="35">
        <f>VLOOKUP(B313,[14]OUT!$A$3:$B$26,2,0)</f>
        <v>0.70892361111111113</v>
      </c>
    </row>
    <row r="314" spans="1:9" x14ac:dyDescent="0.25">
      <c r="A314" s="34">
        <v>46126</v>
      </c>
      <c r="B314" s="16" t="s">
        <v>30</v>
      </c>
      <c r="C314" s="17" t="s">
        <v>31</v>
      </c>
      <c r="D314" t="s">
        <v>19</v>
      </c>
      <c r="H314" s="35">
        <f>VLOOKUP(B314,[14]IN!$A$1:$L$22,10,0)</f>
        <v>0.35343750000000002</v>
      </c>
      <c r="I314" s="35">
        <f>VLOOKUP(B314,[14]OUT!$A$3:$B$26,2,0)</f>
        <v>0.72918981481481471</v>
      </c>
    </row>
    <row r="315" spans="1:9" x14ac:dyDescent="0.25">
      <c r="A315" s="34">
        <v>46126</v>
      </c>
      <c r="B315" s="16" t="s">
        <v>32</v>
      </c>
      <c r="C315" s="20" t="s">
        <v>33</v>
      </c>
      <c r="D315" t="s">
        <v>19</v>
      </c>
      <c r="H315" s="35">
        <f>VLOOKUP(B315,[14]IN!$A$1:$L$22,10,0)</f>
        <v>0.35708333333333336</v>
      </c>
      <c r="I315" s="35">
        <f>VLOOKUP(B315,[14]OUT!$A$3:$B$26,2,0)</f>
        <v>0.73030092592592588</v>
      </c>
    </row>
    <row r="316" spans="1:9" x14ac:dyDescent="0.25">
      <c r="A316" s="34">
        <v>46126</v>
      </c>
      <c r="B316" s="16" t="s">
        <v>36</v>
      </c>
      <c r="C316" s="21" t="s">
        <v>37</v>
      </c>
      <c r="D316" t="s">
        <v>19</v>
      </c>
      <c r="H316" s="35">
        <f>VLOOKUP(B316,[14]IN!$A$1:$L$22,10,0)</f>
        <v>0.34646990740740741</v>
      </c>
      <c r="I316" s="35">
        <f>VLOOKUP(B316,[14]OUT!$A$3:$B$26,2,0)</f>
        <v>0.73038194444444438</v>
      </c>
    </row>
    <row r="317" spans="1:9" x14ac:dyDescent="0.25">
      <c r="A317" s="34">
        <v>46126</v>
      </c>
      <c r="B317" s="16" t="s">
        <v>38</v>
      </c>
      <c r="C317" s="21" t="s">
        <v>39</v>
      </c>
      <c r="D317" t="s">
        <v>19</v>
      </c>
      <c r="H317" s="35">
        <f>VLOOKUP(B317,[14]IN!$A$1:$L$22,10,0)</f>
        <v>0.33686342592592594</v>
      </c>
      <c r="I317" s="35">
        <f>VLOOKUP(B317,[14]OUT!$A$3:$B$26,2,0)</f>
        <v>0.73413194444444441</v>
      </c>
    </row>
    <row r="318" spans="1:9" x14ac:dyDescent="0.25">
      <c r="A318" s="34">
        <v>46126</v>
      </c>
      <c r="B318" s="16" t="s">
        <v>40</v>
      </c>
      <c r="C318" s="22" t="s">
        <v>41</v>
      </c>
      <c r="D318" t="s">
        <v>42</v>
      </c>
      <c r="H318" s="35">
        <f>VLOOKUP(B318,[14]IN!$A$1:$L$22,10,0)</f>
        <v>0.34871527777777778</v>
      </c>
      <c r="I318" s="35">
        <f>VLOOKUP(B318,[14]OUT!$A$3:$B$26,2,0)</f>
        <v>0.72932870370370362</v>
      </c>
    </row>
    <row r="319" spans="1:9" x14ac:dyDescent="0.25">
      <c r="A319" s="34">
        <v>46126</v>
      </c>
      <c r="B319" s="25" t="s">
        <v>51</v>
      </c>
      <c r="C319" s="26" t="s">
        <v>52</v>
      </c>
      <c r="D319" t="s">
        <v>53</v>
      </c>
      <c r="H319" s="35">
        <f>VLOOKUP(B319,[14]IN!$A$1:$L$22,10,0)</f>
        <v>0.34609953703703705</v>
      </c>
      <c r="I319" s="35">
        <f>VLOOKUP(B319,[14]OUT!$A$3:$B$26,2,0)</f>
        <v>0.72974537037037035</v>
      </c>
    </row>
    <row r="320" spans="1:9" x14ac:dyDescent="0.25">
      <c r="A320" s="34">
        <v>46126</v>
      </c>
      <c r="B320" s="25" t="s">
        <v>56</v>
      </c>
      <c r="C320" s="27" t="s">
        <v>57</v>
      </c>
      <c r="D320" t="s">
        <v>53</v>
      </c>
      <c r="H320" s="35">
        <f>VLOOKUP(B320,[14]IN!$A$1:$L$22,10,0)</f>
        <v>0.35629629629629633</v>
      </c>
      <c r="I320" s="35">
        <f>VLOOKUP(B320,[14]OUT!$A$3:$B$26,2,0)</f>
        <v>0.72957175925925932</v>
      </c>
    </row>
    <row r="321" spans="1:9" x14ac:dyDescent="0.25">
      <c r="A321" s="34">
        <v>46126</v>
      </c>
      <c r="B321" s="25" t="s">
        <v>62</v>
      </c>
      <c r="C321" s="30" t="s">
        <v>63</v>
      </c>
      <c r="D321" t="s">
        <v>53</v>
      </c>
      <c r="H321" s="35">
        <f>VLOOKUP(B321,[14]IN!$A$1:$L$22,10,0)</f>
        <v>0.35493055555555553</v>
      </c>
      <c r="I321" s="35">
        <f>VLOOKUP(B321,[14]OUT!$A$3:$B$26,2,0)</f>
        <v>0.73006944444444455</v>
      </c>
    </row>
    <row r="322" spans="1:9" x14ac:dyDescent="0.25">
      <c r="A322" s="34">
        <v>46126</v>
      </c>
      <c r="B322" s="25" t="s">
        <v>64</v>
      </c>
      <c r="C322" s="30" t="s">
        <v>65</v>
      </c>
      <c r="D322" t="s">
        <v>53</v>
      </c>
      <c r="H322" s="35">
        <f>VLOOKUP(B322,[14]IN!$A$1:$L$22,10,0)</f>
        <v>0.33091435185185186</v>
      </c>
      <c r="I322" s="35">
        <f>VLOOKUP(B322,[14]OUT!$A$3:$B$26,2,0)</f>
        <v>0.70912037037037035</v>
      </c>
    </row>
    <row r="323" spans="1:9" x14ac:dyDescent="0.25">
      <c r="A323" s="34">
        <v>46126</v>
      </c>
      <c r="B323" s="25" t="s">
        <v>66</v>
      </c>
      <c r="C323" s="31" t="s">
        <v>67</v>
      </c>
      <c r="D323" t="s">
        <v>53</v>
      </c>
      <c r="H323" s="35">
        <f>VLOOKUP(B323,[14]IN!$A$1:$L$22,10,0)</f>
        <v>0.34451388888888884</v>
      </c>
      <c r="I323" s="35">
        <f>VLOOKUP(B323,[14]OUT!$A$3:$B$26,2,0)</f>
        <v>0.72982638888888884</v>
      </c>
    </row>
    <row r="324" spans="1:9" x14ac:dyDescent="0.25">
      <c r="A324" s="34">
        <v>46126</v>
      </c>
      <c r="B324" s="25" t="s">
        <v>72</v>
      </c>
      <c r="C324" s="32" t="s">
        <v>73</v>
      </c>
      <c r="D324" t="s">
        <v>53</v>
      </c>
      <c r="H324" s="35">
        <f>VLOOKUP(B324,[14]IN!$A$1:$L$22,10,0)</f>
        <v>0.34530092592592593</v>
      </c>
      <c r="I324" s="35">
        <f>VLOOKUP(B324,[14]OUT!$A$3:$B$26,2,0)</f>
        <v>0.72943287037037041</v>
      </c>
    </row>
    <row r="325" spans="1:9" x14ac:dyDescent="0.25">
      <c r="A325" s="34">
        <v>46126</v>
      </c>
      <c r="B325" s="25" t="s">
        <v>74</v>
      </c>
      <c r="C325" s="30" t="s">
        <v>75</v>
      </c>
      <c r="D325" t="s">
        <v>53</v>
      </c>
      <c r="H325" s="35">
        <f>VLOOKUP(B325,[14]IN!$A$1:$L$22,10,0)</f>
        <v>0.5740277777777778</v>
      </c>
      <c r="I325" s="35">
        <f>VLOOKUP(B325,[14]OUT!$A$3:$B$26,2,0)</f>
        <v>0.91685185185185192</v>
      </c>
    </row>
    <row r="326" spans="1:9" x14ac:dyDescent="0.25">
      <c r="A326" s="34">
        <v>46126</v>
      </c>
      <c r="B326" s="25" t="s">
        <v>76</v>
      </c>
      <c r="C326" s="30" t="s">
        <v>77</v>
      </c>
      <c r="D326" t="s">
        <v>53</v>
      </c>
      <c r="H326" s="35">
        <f>VLOOKUP(B326,[14]IN!$A$1:$L$22,10,0)</f>
        <v>0.24700231481481483</v>
      </c>
      <c r="I326" s="35">
        <f>VLOOKUP(B326,[14]OUT!$A$3:$B$26,2,0)</f>
        <v>0.56384259259259262</v>
      </c>
    </row>
    <row r="327" spans="1:9" x14ac:dyDescent="0.25">
      <c r="A327" s="34">
        <v>46126</v>
      </c>
      <c r="B327" s="25" t="s">
        <v>78</v>
      </c>
      <c r="C327" s="30" t="s">
        <v>79</v>
      </c>
      <c r="D327" t="s">
        <v>53</v>
      </c>
      <c r="H327" s="35">
        <f>VLOOKUP(B327,[14]IN!$A$1:$L$22,10,0)</f>
        <v>0.57371527777777775</v>
      </c>
      <c r="I327" s="35">
        <f>VLOOKUP(B327,[14]OUT!$A$3:$B$26,2,0)</f>
        <v>0.91673611111111108</v>
      </c>
    </row>
    <row r="328" spans="1:9" x14ac:dyDescent="0.25">
      <c r="A328" s="34">
        <v>46126</v>
      </c>
      <c r="B328" s="16" t="s">
        <v>28</v>
      </c>
      <c r="C328" s="17" t="s">
        <v>29</v>
      </c>
      <c r="D328" t="s">
        <v>19</v>
      </c>
      <c r="H328" s="35">
        <v>0.78993055555555547</v>
      </c>
      <c r="I328" s="35">
        <v>0.25032407407407409</v>
      </c>
    </row>
    <row r="329" spans="1:9" x14ac:dyDescent="0.25">
      <c r="A329" s="34">
        <v>46126</v>
      </c>
      <c r="B329" s="16" t="s">
        <v>45</v>
      </c>
      <c r="C329" s="23" t="s">
        <v>46</v>
      </c>
      <c r="D329" t="s">
        <v>42</v>
      </c>
      <c r="H329" s="35">
        <v>0.89870370370370367</v>
      </c>
      <c r="I329" s="35">
        <v>0.25100694444444444</v>
      </c>
    </row>
    <row r="330" spans="1:9" x14ac:dyDescent="0.25">
      <c r="A330" s="34">
        <v>46127</v>
      </c>
      <c r="B330" s="14" t="s">
        <v>17</v>
      </c>
      <c r="C330" s="15" t="s">
        <v>18</v>
      </c>
      <c r="D330" t="s">
        <v>19</v>
      </c>
      <c r="H330" s="35">
        <f>VLOOKUP(B330,[15]IN!$A$1:$L$30,10,0)</f>
        <v>0.33586805555555554</v>
      </c>
      <c r="I330" s="35">
        <f>VLOOKUP(B330,[15]OUT!$A$3:$B$32,2,0)</f>
        <v>0.73452546296296306</v>
      </c>
    </row>
    <row r="331" spans="1:9" x14ac:dyDescent="0.25">
      <c r="A331" s="34">
        <v>46127</v>
      </c>
      <c r="B331" s="16" t="s">
        <v>87</v>
      </c>
      <c r="C331" s="15" t="s">
        <v>88</v>
      </c>
      <c r="D331" t="s">
        <v>19</v>
      </c>
      <c r="H331" s="35">
        <f>VLOOKUP(B331,[15]IN!$A$1:$L$30,10,0)</f>
        <v>0.33045138888888886</v>
      </c>
      <c r="I331" s="35">
        <f>VLOOKUP(B331,[15]OUT!$A$3:$B$32,2,0)</f>
        <v>0.79246527777777775</v>
      </c>
    </row>
    <row r="332" spans="1:9" x14ac:dyDescent="0.25">
      <c r="A332" s="34">
        <v>46127</v>
      </c>
      <c r="B332" s="16" t="s">
        <v>20</v>
      </c>
      <c r="C332" s="17" t="s">
        <v>21</v>
      </c>
      <c r="D332" t="s">
        <v>19</v>
      </c>
      <c r="H332" s="35">
        <f>VLOOKUP(B332,[15]IN!$A$1:$L$30,10,0)</f>
        <v>0.33064814814814814</v>
      </c>
      <c r="I332" s="35">
        <f>VLOOKUP(B332,[15]OUT!$A$3:$B$32,2,0)</f>
        <v>0.79266203703703697</v>
      </c>
    </row>
    <row r="333" spans="1:9" x14ac:dyDescent="0.25">
      <c r="A333" s="34">
        <v>46127</v>
      </c>
      <c r="B333" s="16" t="s">
        <v>26</v>
      </c>
      <c r="C333" s="17" t="s">
        <v>27</v>
      </c>
      <c r="D333" t="s">
        <v>19</v>
      </c>
      <c r="H333" s="35">
        <f>VLOOKUP(B333,[15]IN!$A$1:$L$30,10,0)</f>
        <v>0.25776620370370368</v>
      </c>
      <c r="I333" s="35">
        <f>VLOOKUP(B333,[15]OUT!$A$3:$B$32,2,0)</f>
        <v>0.70894675925925921</v>
      </c>
    </row>
    <row r="334" spans="1:9" x14ac:dyDescent="0.25">
      <c r="A334" s="34">
        <v>46127</v>
      </c>
      <c r="B334" s="16" t="s">
        <v>30</v>
      </c>
      <c r="C334" s="17" t="s">
        <v>31</v>
      </c>
      <c r="D334" t="s">
        <v>19</v>
      </c>
      <c r="H334" s="35">
        <f>VLOOKUP(B334,[15]IN!$A$1:$L$30,10,0)</f>
        <v>0.34038194444444447</v>
      </c>
      <c r="I334" s="35">
        <f>VLOOKUP(B334,[15]OUT!$A$3:$B$32,2,0)</f>
        <v>0.73086805555555545</v>
      </c>
    </row>
    <row r="335" spans="1:9" x14ac:dyDescent="0.25">
      <c r="A335" s="34">
        <v>46127</v>
      </c>
      <c r="B335" s="16" t="s">
        <v>32</v>
      </c>
      <c r="C335" s="20" t="s">
        <v>33</v>
      </c>
      <c r="D335" t="s">
        <v>19</v>
      </c>
      <c r="H335" s="35">
        <f>VLOOKUP(B335,[15]IN!$A$1:$L$30,10,0)</f>
        <v>0.35312499999999997</v>
      </c>
      <c r="I335" s="35">
        <f>VLOOKUP(B335,[15]OUT!$A$3:$B$32,2,0)</f>
        <v>0.73468750000000005</v>
      </c>
    </row>
    <row r="336" spans="1:9" x14ac:dyDescent="0.25">
      <c r="A336" s="34">
        <v>46127</v>
      </c>
      <c r="B336" s="16" t="s">
        <v>34</v>
      </c>
      <c r="C336" s="17" t="s">
        <v>35</v>
      </c>
      <c r="D336" t="s">
        <v>19</v>
      </c>
      <c r="H336" s="35">
        <f>VLOOKUP(B336,[15]IN!$A$1:$L$30,10,0)</f>
        <v>0.35864583333333333</v>
      </c>
      <c r="I336" s="35">
        <f>VLOOKUP(B336,[15]OUT!$A$3:$B$32,2,0)</f>
        <v>0.72940972222222233</v>
      </c>
    </row>
    <row r="337" spans="1:9" x14ac:dyDescent="0.25">
      <c r="A337" s="34">
        <v>46127</v>
      </c>
      <c r="B337" s="16" t="s">
        <v>36</v>
      </c>
      <c r="C337" s="21" t="s">
        <v>37</v>
      </c>
      <c r="D337" t="s">
        <v>19</v>
      </c>
      <c r="H337" s="35">
        <f>VLOOKUP(B337,[15]IN!$A$1:$L$30,10,0)</f>
        <v>0.34320601851851856</v>
      </c>
      <c r="I337" s="35">
        <f>VLOOKUP(B337,[15]OUT!$A$3:$B$32,2,0)</f>
        <v>0.73460648148148155</v>
      </c>
    </row>
    <row r="338" spans="1:9" x14ac:dyDescent="0.25">
      <c r="A338" s="34">
        <v>46127</v>
      </c>
      <c r="B338" s="16" t="s">
        <v>38</v>
      </c>
      <c r="C338" s="21" t="s">
        <v>39</v>
      </c>
      <c r="D338" t="s">
        <v>19</v>
      </c>
      <c r="H338" s="35">
        <f>VLOOKUP(B338,[15]IN!$A$1:$L$30,10,0)</f>
        <v>0.33604166666666663</v>
      </c>
      <c r="I338" s="35">
        <f>VLOOKUP(B338,[15]OUT!$A$3:$B$32,2,0)</f>
        <v>0.73442129629629627</v>
      </c>
    </row>
    <row r="339" spans="1:9" x14ac:dyDescent="0.25">
      <c r="A339" s="34">
        <v>46127</v>
      </c>
      <c r="B339" s="16" t="s">
        <v>40</v>
      </c>
      <c r="C339" s="22" t="s">
        <v>41</v>
      </c>
      <c r="D339" t="s">
        <v>42</v>
      </c>
      <c r="H339" s="35">
        <f>VLOOKUP(B339,[15]IN!$A$1:$L$30,10,0)</f>
        <v>0.34853009259259254</v>
      </c>
      <c r="I339" s="35">
        <f>VLOOKUP(B339,[15]OUT!$A$3:$B$32,2,0)</f>
        <v>0.7292939814814815</v>
      </c>
    </row>
    <row r="340" spans="1:9" x14ac:dyDescent="0.25">
      <c r="A340" s="34">
        <v>46127</v>
      </c>
      <c r="B340" s="16" t="s">
        <v>43</v>
      </c>
      <c r="C340" s="23" t="s">
        <v>44</v>
      </c>
      <c r="D340" t="s">
        <v>42</v>
      </c>
      <c r="H340" s="35">
        <f>VLOOKUP(B340,[15]IN!$A$1:$L$30,10,0)</f>
        <v>0.5803935185185185</v>
      </c>
      <c r="I340" s="35">
        <f>VLOOKUP(B340,[15]OUT!$A$3:$B$32,2,0)</f>
        <v>0.91700231481481476</v>
      </c>
    </row>
    <row r="341" spans="1:9" x14ac:dyDescent="0.25">
      <c r="A341" s="34">
        <v>46127</v>
      </c>
      <c r="B341" s="16" t="s">
        <v>49</v>
      </c>
      <c r="C341" s="24" t="s">
        <v>50</v>
      </c>
      <c r="D341" t="s">
        <v>42</v>
      </c>
      <c r="H341" s="35">
        <f>VLOOKUP(B341,[15]IN!$A$1:$L$30,10,0)</f>
        <v>0.33695601851851853</v>
      </c>
      <c r="I341" s="35">
        <f>VLOOKUP(B341,[15]OUT!$A$3:$B$32,2,0)</f>
        <v>0.83489583333333339</v>
      </c>
    </row>
    <row r="342" spans="1:9" x14ac:dyDescent="0.25">
      <c r="A342" s="34">
        <v>46127</v>
      </c>
      <c r="B342" s="25" t="s">
        <v>51</v>
      </c>
      <c r="C342" s="26" t="s">
        <v>52</v>
      </c>
      <c r="D342" t="s">
        <v>53</v>
      </c>
      <c r="H342" s="35">
        <f>VLOOKUP(B342,[15]IN!$A$1:$L$30,10,0)</f>
        <v>0.36060185185185184</v>
      </c>
      <c r="I342" s="35">
        <f>VLOOKUP(B342,[15]OUT!$A$3:$B$32,2,0)</f>
        <v>0.72953703703703709</v>
      </c>
    </row>
    <row r="343" spans="1:9" x14ac:dyDescent="0.25">
      <c r="A343" s="34">
        <v>46127</v>
      </c>
      <c r="B343" s="25" t="s">
        <v>54</v>
      </c>
      <c r="C343" s="26" t="s">
        <v>55</v>
      </c>
      <c r="D343" t="s">
        <v>53</v>
      </c>
      <c r="H343" s="35">
        <f>VLOOKUP(B343,[15]IN!$A$1:$L$30,10,0)</f>
        <v>0.31843749999999998</v>
      </c>
      <c r="I343" s="35">
        <f>VLOOKUP(B343,[15]OUT!$A$3:$B$32,2,0)</f>
        <v>0.71084490740740736</v>
      </c>
    </row>
    <row r="344" spans="1:9" x14ac:dyDescent="0.25">
      <c r="A344" s="34">
        <v>46127</v>
      </c>
      <c r="B344" s="25" t="s">
        <v>56</v>
      </c>
      <c r="C344" s="27" t="s">
        <v>57</v>
      </c>
      <c r="D344" t="s">
        <v>53</v>
      </c>
      <c r="H344" s="35">
        <f>VLOOKUP(B344,[15]IN!$A$1:$L$30,10,0)</f>
        <v>0.3552777777777778</v>
      </c>
      <c r="I344" s="35">
        <f>VLOOKUP(B344,[15]OUT!$A$3:$B$32,2,0)</f>
        <v>0.72962962962962974</v>
      </c>
    </row>
    <row r="345" spans="1:9" x14ac:dyDescent="0.25">
      <c r="A345" s="34">
        <v>46127</v>
      </c>
      <c r="B345" s="25" t="s">
        <v>58</v>
      </c>
      <c r="C345" s="28" t="s">
        <v>59</v>
      </c>
      <c r="D345" t="s">
        <v>53</v>
      </c>
      <c r="H345" s="35">
        <f>VLOOKUP(B345,[15]IN!$A$1:$L$30,10,0)</f>
        <v>0.33809027777777773</v>
      </c>
      <c r="I345" s="35">
        <f>VLOOKUP(B345,[15]OUT!$A$3:$B$32,2,0)</f>
        <v>0.72918981481481471</v>
      </c>
    </row>
    <row r="346" spans="1:9" x14ac:dyDescent="0.25">
      <c r="A346" s="34">
        <v>46127</v>
      </c>
      <c r="B346" s="25" t="s">
        <v>62</v>
      </c>
      <c r="C346" s="30" t="s">
        <v>63</v>
      </c>
      <c r="D346" t="s">
        <v>53</v>
      </c>
      <c r="H346" s="35">
        <f>VLOOKUP(B346,[15]IN!$A$1:$L$30,10,0)</f>
        <v>0.34478009259259257</v>
      </c>
      <c r="I346" s="35">
        <f>VLOOKUP(B346,[15]OUT!$A$3:$B$32,2,0)</f>
        <v>0.7306597222222222</v>
      </c>
    </row>
    <row r="347" spans="1:9" x14ac:dyDescent="0.25">
      <c r="A347" s="34">
        <v>46127</v>
      </c>
      <c r="B347" s="25" t="s">
        <v>64</v>
      </c>
      <c r="C347" s="30" t="s">
        <v>65</v>
      </c>
      <c r="D347" t="s">
        <v>53</v>
      </c>
      <c r="H347" s="35">
        <f>VLOOKUP(B347,[15]IN!$A$1:$L$30,10,0)</f>
        <v>0.32026620370370368</v>
      </c>
      <c r="I347" s="35">
        <f>VLOOKUP(B347,[15]OUT!$A$3:$B$32,2,0)</f>
        <v>0.70923611111111118</v>
      </c>
    </row>
    <row r="348" spans="1:9" x14ac:dyDescent="0.25">
      <c r="A348" s="34">
        <v>46127</v>
      </c>
      <c r="B348" s="25" t="s">
        <v>66</v>
      </c>
      <c r="C348" s="31" t="s">
        <v>67</v>
      </c>
      <c r="D348" t="s">
        <v>53</v>
      </c>
      <c r="H348" s="35">
        <f>VLOOKUP(B348,[15]IN!$A$1:$L$30,10,0)</f>
        <v>0.34958333333333336</v>
      </c>
      <c r="I348" s="35">
        <f>VLOOKUP(B348,[15]OUT!$A$3:$B$32,2,0)</f>
        <v>0.72918981481481471</v>
      </c>
    </row>
    <row r="349" spans="1:9" x14ac:dyDescent="0.25">
      <c r="A349" s="34">
        <v>46127</v>
      </c>
      <c r="B349" s="25" t="s">
        <v>68</v>
      </c>
      <c r="C349" s="31" t="s">
        <v>69</v>
      </c>
      <c r="D349" t="s">
        <v>53</v>
      </c>
      <c r="H349" s="35">
        <f>VLOOKUP(B349,[15]IN!$A$1:$L$30,10,0)</f>
        <v>0.35877314814814815</v>
      </c>
      <c r="I349" s="35">
        <f>VLOOKUP(B349,[15]OUT!$A$3:$B$32,2,0)</f>
        <v>0.72946759259259253</v>
      </c>
    </row>
    <row r="350" spans="1:9" x14ac:dyDescent="0.25">
      <c r="A350" s="34">
        <v>46127</v>
      </c>
      <c r="B350" s="25" t="s">
        <v>70</v>
      </c>
      <c r="C350" s="32" t="s">
        <v>71</v>
      </c>
      <c r="D350" t="s">
        <v>53</v>
      </c>
      <c r="H350" s="35">
        <f>VLOOKUP(B350,[15]IN!$A$1:$L$30,10,0)</f>
        <v>0.33447916666666666</v>
      </c>
      <c r="I350" s="35">
        <f>VLOOKUP(B350,[15]OUT!$A$3:$B$32,2,0)</f>
        <v>0.71031250000000001</v>
      </c>
    </row>
    <row r="351" spans="1:9" x14ac:dyDescent="0.25">
      <c r="A351" s="34">
        <v>46127</v>
      </c>
      <c r="B351" s="25" t="s">
        <v>72</v>
      </c>
      <c r="C351" s="32" t="s">
        <v>73</v>
      </c>
      <c r="D351" t="s">
        <v>53</v>
      </c>
      <c r="H351" s="35">
        <f>VLOOKUP(B351,[15]IN!$A$1:$L$30,10,0)</f>
        <v>0.33730324074074075</v>
      </c>
      <c r="I351" s="35">
        <f>VLOOKUP(B351,[15]OUT!$A$3:$B$32,2,0)</f>
        <v>0.72930555555555554</v>
      </c>
    </row>
    <row r="352" spans="1:9" x14ac:dyDescent="0.25">
      <c r="A352" s="34">
        <v>46127</v>
      </c>
      <c r="B352" s="25" t="s">
        <v>74</v>
      </c>
      <c r="C352" s="30" t="s">
        <v>75</v>
      </c>
      <c r="D352" t="s">
        <v>53</v>
      </c>
      <c r="H352" s="35">
        <f>VLOOKUP(B352,[15]IN!$A$1:$L$30,10,0)</f>
        <v>0.24447916666666666</v>
      </c>
      <c r="I352" s="35">
        <f>VLOOKUP(B352,[15]OUT!$A$3:$B$32,2,0)</f>
        <v>0.58499999999999996</v>
      </c>
    </row>
    <row r="353" spans="1:9" x14ac:dyDescent="0.25">
      <c r="A353" s="34">
        <v>46127</v>
      </c>
      <c r="B353" s="25" t="s">
        <v>78</v>
      </c>
      <c r="C353" s="30" t="s">
        <v>79</v>
      </c>
      <c r="D353" t="s">
        <v>53</v>
      </c>
      <c r="H353" s="35">
        <f>VLOOKUP(B353,[15]IN!$A$1:$L$30,10,0)</f>
        <v>0.58052083333333326</v>
      </c>
      <c r="I353" s="35">
        <f>VLOOKUP(B353,[15]OUT!$A$3:$B$32,2,0)</f>
        <v>0.916875</v>
      </c>
    </row>
    <row r="354" spans="1:9" x14ac:dyDescent="0.25">
      <c r="A354" s="34">
        <v>46127</v>
      </c>
      <c r="B354" s="18" t="s">
        <v>24</v>
      </c>
      <c r="C354" s="19" t="s">
        <v>25</v>
      </c>
      <c r="D354" t="s">
        <v>19</v>
      </c>
      <c r="H354" s="35" t="e">
        <v>#N/A</v>
      </c>
      <c r="I354" s="35">
        <v>0.25115740740740738</v>
      </c>
    </row>
    <row r="355" spans="1:9" x14ac:dyDescent="0.25">
      <c r="A355" s="34">
        <v>46127</v>
      </c>
      <c r="B355" s="16" t="s">
        <v>28</v>
      </c>
      <c r="C355" s="17" t="s">
        <v>29</v>
      </c>
      <c r="D355" t="s">
        <v>19</v>
      </c>
      <c r="H355" s="35">
        <v>0.78644675925925922</v>
      </c>
      <c r="I355" s="35">
        <v>0.25032407407407409</v>
      </c>
    </row>
    <row r="356" spans="1:9" x14ac:dyDescent="0.25">
      <c r="A356" s="34">
        <v>46127</v>
      </c>
      <c r="B356" s="16" t="s">
        <v>45</v>
      </c>
      <c r="C356" s="23" t="s">
        <v>46</v>
      </c>
      <c r="D356" t="s">
        <v>42</v>
      </c>
      <c r="H356" s="35">
        <v>0.89969907407407401</v>
      </c>
      <c r="I356" s="35">
        <v>0.25100694444444444</v>
      </c>
    </row>
    <row r="357" spans="1:9" x14ac:dyDescent="0.25">
      <c r="A357" s="34">
        <v>46128</v>
      </c>
      <c r="B357" s="14" t="s">
        <v>17</v>
      </c>
      <c r="C357" s="15" t="s">
        <v>18</v>
      </c>
      <c r="D357" t="s">
        <v>19</v>
      </c>
      <c r="H357" s="35">
        <f>VLOOKUP(B357,[16]IN!$A$1:$L$31,10,0)</f>
        <v>0.3406481481481482</v>
      </c>
      <c r="I357" s="35">
        <f>VLOOKUP(B357,[16]OUT!$A$3:$B$32,2,0)</f>
        <v>0.73944444444444446</v>
      </c>
    </row>
    <row r="358" spans="1:9" x14ac:dyDescent="0.25">
      <c r="A358" s="34">
        <v>46128</v>
      </c>
      <c r="B358" s="16" t="s">
        <v>87</v>
      </c>
      <c r="C358" s="15" t="s">
        <v>88</v>
      </c>
      <c r="D358" t="s">
        <v>19</v>
      </c>
      <c r="H358" s="35">
        <f>VLOOKUP(B358,[16]IN!$A$1:$L$31,10,0)</f>
        <v>0.33074074074074072</v>
      </c>
      <c r="I358" s="35" t="e">
        <f>VLOOKUP(B358,[16]OUT!$A$3:$B$32,2,0)</f>
        <v>#N/A</v>
      </c>
    </row>
    <row r="359" spans="1:9" x14ac:dyDescent="0.25">
      <c r="A359" s="34">
        <v>46128</v>
      </c>
      <c r="B359" s="16" t="s">
        <v>20</v>
      </c>
      <c r="C359" s="17" t="s">
        <v>21</v>
      </c>
      <c r="D359" t="s">
        <v>19</v>
      </c>
      <c r="H359" s="35">
        <f>VLOOKUP(B359,[16]IN!$A$1:$L$31,10,0)</f>
        <v>0.33875000000000005</v>
      </c>
      <c r="I359" s="35" t="e">
        <f>VLOOKUP(B359,[16]OUT!$A$3:$B$32,2,0)</f>
        <v>#N/A</v>
      </c>
    </row>
    <row r="360" spans="1:9" x14ac:dyDescent="0.25">
      <c r="A360" s="34">
        <v>46128</v>
      </c>
      <c r="B360" s="16" t="s">
        <v>26</v>
      </c>
      <c r="C360" s="17" t="s">
        <v>27</v>
      </c>
      <c r="D360" t="s">
        <v>19</v>
      </c>
      <c r="H360" s="35">
        <f>VLOOKUP(B360,[16]IN!$A$1:$L$31,10,0)</f>
        <v>0.25495370370370368</v>
      </c>
      <c r="I360" s="35">
        <f>VLOOKUP(B360,[16]OUT!$A$3:$B$32,2,0)</f>
        <v>0.70930555555555552</v>
      </c>
    </row>
    <row r="361" spans="1:9" x14ac:dyDescent="0.25">
      <c r="A361" s="34">
        <v>46128</v>
      </c>
      <c r="B361" s="16" t="s">
        <v>30</v>
      </c>
      <c r="C361" s="17" t="s">
        <v>31</v>
      </c>
      <c r="D361" t="s">
        <v>19</v>
      </c>
      <c r="H361" s="35">
        <f>VLOOKUP(B361,[16]IN!$A$1:$L$31,10,0)</f>
        <v>0.34813657407407406</v>
      </c>
      <c r="I361" s="35">
        <f>VLOOKUP(B361,[16]OUT!$A$3:$B$32,2,0)</f>
        <v>0.72932870370370362</v>
      </c>
    </row>
    <row r="362" spans="1:9" x14ac:dyDescent="0.25">
      <c r="A362" s="34">
        <v>46128</v>
      </c>
      <c r="B362" s="16" t="s">
        <v>32</v>
      </c>
      <c r="C362" s="20" t="s">
        <v>33</v>
      </c>
      <c r="D362" t="s">
        <v>19</v>
      </c>
      <c r="H362" s="35">
        <f>VLOOKUP(B362,[16]IN!$A$1:$L$31,10,0)</f>
        <v>0.35881944444444441</v>
      </c>
      <c r="I362" s="35">
        <f>VLOOKUP(B362,[16]OUT!$A$3:$B$32,2,0)</f>
        <v>0.72918981481481471</v>
      </c>
    </row>
    <row r="363" spans="1:9" x14ac:dyDescent="0.25">
      <c r="A363" s="34">
        <v>46128</v>
      </c>
      <c r="B363" s="16" t="s">
        <v>34</v>
      </c>
      <c r="C363" s="17" t="s">
        <v>35</v>
      </c>
      <c r="D363" t="s">
        <v>19</v>
      </c>
      <c r="H363" s="35">
        <f>VLOOKUP(B363,[16]IN!$A$1:$L$31,10,0)</f>
        <v>0.35601851851851851</v>
      </c>
      <c r="I363" s="35">
        <f>VLOOKUP(B363,[16]OUT!$A$3:$B$32,2,0)</f>
        <v>0.72976851851851843</v>
      </c>
    </row>
    <row r="364" spans="1:9" x14ac:dyDescent="0.25">
      <c r="A364" s="34">
        <v>46128</v>
      </c>
      <c r="B364" s="16" t="s">
        <v>36</v>
      </c>
      <c r="C364" s="21" t="s">
        <v>37</v>
      </c>
      <c r="D364" t="s">
        <v>19</v>
      </c>
      <c r="H364" s="35">
        <f>VLOOKUP(B364,[16]IN!$A$1:$L$31,10,0)</f>
        <v>0.34795138888888894</v>
      </c>
      <c r="I364" s="35">
        <f>VLOOKUP(B364,[16]OUT!$A$3:$B$32,2,0)</f>
        <v>0.73935185185185182</v>
      </c>
    </row>
    <row r="365" spans="1:9" x14ac:dyDescent="0.25">
      <c r="A365" s="34">
        <v>46128</v>
      </c>
      <c r="B365" s="16" t="s">
        <v>38</v>
      </c>
      <c r="C365" s="21" t="s">
        <v>39</v>
      </c>
      <c r="D365" t="s">
        <v>19</v>
      </c>
      <c r="H365" s="35">
        <f>VLOOKUP(B365,[16]IN!$A$1:$L$31,10,0)</f>
        <v>0.34050925925925929</v>
      </c>
      <c r="I365" s="35">
        <f>VLOOKUP(B365,[16]OUT!$A$3:$B$32,2,0)</f>
        <v>0.73927083333333332</v>
      </c>
    </row>
    <row r="366" spans="1:9" x14ac:dyDescent="0.25">
      <c r="A366" s="34">
        <v>46128</v>
      </c>
      <c r="B366" s="16" t="s">
        <v>40</v>
      </c>
      <c r="C366" s="22" t="s">
        <v>41</v>
      </c>
      <c r="D366" t="s">
        <v>42</v>
      </c>
      <c r="H366" s="35">
        <f>VLOOKUP(B366,[16]IN!$A$1:$L$31,10,0)</f>
        <v>0.34952546296296294</v>
      </c>
      <c r="I366" s="35">
        <f>VLOOKUP(B366,[16]OUT!$A$3:$B$32,2,0)</f>
        <v>0.73008101851851848</v>
      </c>
    </row>
    <row r="367" spans="1:9" x14ac:dyDescent="0.25">
      <c r="A367" s="34">
        <v>46128</v>
      </c>
      <c r="B367" s="16" t="s">
        <v>43</v>
      </c>
      <c r="C367" s="23" t="s">
        <v>44</v>
      </c>
      <c r="D367" t="s">
        <v>42</v>
      </c>
      <c r="H367" s="35">
        <f>VLOOKUP(B367,[16]IN!$A$1:$L$31,10,0)</f>
        <v>0.57753472222222224</v>
      </c>
      <c r="I367" s="35">
        <f>VLOOKUP(B367,[16]OUT!$A$3:$B$32,2,0)</f>
        <v>0.91672453703703705</v>
      </c>
    </row>
    <row r="368" spans="1:9" x14ac:dyDescent="0.25">
      <c r="A368" s="34">
        <v>46128</v>
      </c>
      <c r="B368" s="16" t="s">
        <v>49</v>
      </c>
      <c r="C368" s="24" t="s">
        <v>50</v>
      </c>
      <c r="D368" t="s">
        <v>42</v>
      </c>
      <c r="H368" s="35">
        <f>VLOOKUP(B368,[16]IN!$A$1:$L$31,10,0)</f>
        <v>0.34650462962962963</v>
      </c>
      <c r="I368" s="35">
        <f>VLOOKUP(B368,[16]OUT!$A$3:$B$32,2,0)</f>
        <v>0.75159722222222225</v>
      </c>
    </row>
    <row r="369" spans="1:9" x14ac:dyDescent="0.25">
      <c r="A369" s="34">
        <v>46128</v>
      </c>
      <c r="B369" s="25" t="s">
        <v>51</v>
      </c>
      <c r="C369" s="26" t="s">
        <v>52</v>
      </c>
      <c r="D369" t="s">
        <v>53</v>
      </c>
      <c r="H369" s="35">
        <f>VLOOKUP(B369,[16]IN!$A$1:$L$31,10,0)</f>
        <v>0.35802083333333329</v>
      </c>
      <c r="I369" s="35">
        <f>VLOOKUP(B369,[16]OUT!$A$3:$B$32,2,0)</f>
        <v>0.72984953703703714</v>
      </c>
    </row>
    <row r="370" spans="1:9" x14ac:dyDescent="0.25">
      <c r="A370" s="34">
        <v>46128</v>
      </c>
      <c r="B370" s="25" t="s">
        <v>54</v>
      </c>
      <c r="C370" s="26" t="s">
        <v>55</v>
      </c>
      <c r="D370" t="s">
        <v>53</v>
      </c>
      <c r="H370" s="35">
        <f>VLOOKUP(B370,[16]IN!$A$1:$L$31,10,0)</f>
        <v>0.34063657407407405</v>
      </c>
      <c r="I370" s="35">
        <f>VLOOKUP(B370,[16]OUT!$A$3:$B$32,2,0)</f>
        <v>0.70864583333333331</v>
      </c>
    </row>
    <row r="371" spans="1:9" x14ac:dyDescent="0.25">
      <c r="A371" s="34">
        <v>46128</v>
      </c>
      <c r="B371" s="25" t="s">
        <v>56</v>
      </c>
      <c r="C371" s="27" t="s">
        <v>57</v>
      </c>
      <c r="D371" t="s">
        <v>53</v>
      </c>
      <c r="H371" s="35">
        <f>VLOOKUP(B371,[16]IN!$A$1:$L$31,10,0)</f>
        <v>0.35553240740740738</v>
      </c>
      <c r="I371" s="35">
        <f>VLOOKUP(B371,[16]OUT!$A$3:$B$32,2,0)</f>
        <v>0.72944444444444445</v>
      </c>
    </row>
    <row r="372" spans="1:9" x14ac:dyDescent="0.25">
      <c r="A372" s="34">
        <v>46128</v>
      </c>
      <c r="B372" s="25" t="s">
        <v>58</v>
      </c>
      <c r="C372" s="28" t="s">
        <v>59</v>
      </c>
      <c r="D372" t="s">
        <v>53</v>
      </c>
      <c r="H372" s="35">
        <f>VLOOKUP(B372,[16]IN!$A$1:$L$31,10,0)</f>
        <v>0.34248842592592593</v>
      </c>
      <c r="I372" s="35">
        <f>VLOOKUP(B372,[16]OUT!$A$3:$B$32,2,0)</f>
        <v>0.7292939814814815</v>
      </c>
    </row>
    <row r="373" spans="1:9" x14ac:dyDescent="0.25">
      <c r="A373" s="34">
        <v>46128</v>
      </c>
      <c r="B373" s="25" t="s">
        <v>62</v>
      </c>
      <c r="C373" s="30" t="s">
        <v>63</v>
      </c>
      <c r="D373" t="s">
        <v>53</v>
      </c>
      <c r="H373" s="35">
        <f>VLOOKUP(B373,[16]IN!$A$1:$L$31,10,0)</f>
        <v>0.36122685185185183</v>
      </c>
      <c r="I373" s="35">
        <f>VLOOKUP(B373,[16]OUT!$A$3:$B$32,2,0)</f>
        <v>0.72994212962962957</v>
      </c>
    </row>
    <row r="374" spans="1:9" x14ac:dyDescent="0.25">
      <c r="A374" s="34">
        <v>46128</v>
      </c>
      <c r="B374" s="25" t="s">
        <v>64</v>
      </c>
      <c r="C374" s="30" t="s">
        <v>65</v>
      </c>
      <c r="D374" t="s">
        <v>53</v>
      </c>
      <c r="H374" s="35">
        <f>VLOOKUP(B374,[16]IN!$A$1:$L$31,10,0)</f>
        <v>0.3359375</v>
      </c>
      <c r="I374" s="35">
        <f>VLOOKUP(B374,[16]OUT!$A$3:$B$32,2,0)</f>
        <v>0.71159722222222221</v>
      </c>
    </row>
    <row r="375" spans="1:9" x14ac:dyDescent="0.25">
      <c r="A375" s="34">
        <v>46128</v>
      </c>
      <c r="B375" s="25" t="s">
        <v>66</v>
      </c>
      <c r="C375" s="31" t="s">
        <v>67</v>
      </c>
      <c r="D375" t="s">
        <v>53</v>
      </c>
      <c r="H375" s="35">
        <f>VLOOKUP(B375,[16]IN!$A$1:$L$31,10,0)</f>
        <v>0.36131944444444447</v>
      </c>
      <c r="I375" s="35">
        <f>VLOOKUP(B375,[16]OUT!$A$3:$B$32,2,0)</f>
        <v>0.72957175925925932</v>
      </c>
    </row>
    <row r="376" spans="1:9" x14ac:dyDescent="0.25">
      <c r="A376" s="34">
        <v>46128</v>
      </c>
      <c r="B376" s="25" t="s">
        <v>68</v>
      </c>
      <c r="C376" s="31" t="s">
        <v>69</v>
      </c>
      <c r="D376" t="s">
        <v>53</v>
      </c>
      <c r="H376" s="35">
        <f>VLOOKUP(B376,[16]IN!$A$1:$L$31,10,0)</f>
        <v>0.36078703703703702</v>
      </c>
      <c r="I376" s="35">
        <f>VLOOKUP(B376,[16]OUT!$A$3:$B$32,2,0)</f>
        <v>0.73001157407407413</v>
      </c>
    </row>
    <row r="377" spans="1:9" x14ac:dyDescent="0.25">
      <c r="A377" s="34">
        <v>46128</v>
      </c>
      <c r="B377" s="25" t="s">
        <v>70</v>
      </c>
      <c r="C377" s="32" t="s">
        <v>71</v>
      </c>
      <c r="D377" t="s">
        <v>53</v>
      </c>
      <c r="H377" s="35">
        <f>VLOOKUP(B377,[16]IN!$A$1:$L$31,10,0)</f>
        <v>0.32670138888888889</v>
      </c>
      <c r="I377" s="35">
        <f>VLOOKUP(B377,[16]OUT!$A$3:$B$32,2,0)</f>
        <v>0.70847222222222228</v>
      </c>
    </row>
    <row r="378" spans="1:9" x14ac:dyDescent="0.25">
      <c r="A378" s="34">
        <v>46128</v>
      </c>
      <c r="B378" s="25" t="s">
        <v>72</v>
      </c>
      <c r="C378" s="32" t="s">
        <v>73</v>
      </c>
      <c r="D378" t="s">
        <v>53</v>
      </c>
      <c r="H378" s="35">
        <f>VLOOKUP(B378,[16]IN!$A$1:$L$31,10,0)</f>
        <v>0.34914351851851855</v>
      </c>
      <c r="I378" s="35">
        <f>VLOOKUP(B378,[16]OUT!$A$3:$B$32,2,0)</f>
        <v>0.72943287037037041</v>
      </c>
    </row>
    <row r="379" spans="1:9" x14ac:dyDescent="0.25">
      <c r="A379" s="34">
        <v>46128</v>
      </c>
      <c r="B379" s="25" t="s">
        <v>74</v>
      </c>
      <c r="C379" s="30" t="s">
        <v>75</v>
      </c>
      <c r="D379" t="s">
        <v>53</v>
      </c>
      <c r="H379" s="35">
        <f>VLOOKUP(B379,[16]IN!$A$1:$L$31,10,0)</f>
        <v>0.57873842592592595</v>
      </c>
      <c r="I379" s="35">
        <f>VLOOKUP(B379,[16]OUT!$A$3:$B$32,2,0)</f>
        <v>0.91695601851851849</v>
      </c>
    </row>
    <row r="380" spans="1:9" x14ac:dyDescent="0.25">
      <c r="A380" s="34">
        <v>46128</v>
      </c>
      <c r="B380" s="25" t="s">
        <v>76</v>
      </c>
      <c r="C380" s="30" t="s">
        <v>77</v>
      </c>
      <c r="D380" t="s">
        <v>53</v>
      </c>
      <c r="H380" s="35">
        <f>VLOOKUP(B380,[16]IN!$A$1:$L$31,10,0)</f>
        <v>0.24224537037037039</v>
      </c>
      <c r="I380" s="35">
        <f>VLOOKUP(B380,[16]OUT!$A$3:$B$32,2,0)</f>
        <v>0.58340277777777783</v>
      </c>
    </row>
    <row r="381" spans="1:9" x14ac:dyDescent="0.25">
      <c r="A381" s="34">
        <v>46128</v>
      </c>
      <c r="B381" s="25" t="s">
        <v>78</v>
      </c>
      <c r="C381" s="30" t="s">
        <v>79</v>
      </c>
      <c r="D381" t="s">
        <v>53</v>
      </c>
      <c r="H381" s="35">
        <f>VLOOKUP(B381,[16]IN!$A$1:$L$31,10,0)</f>
        <v>0.57328703703703698</v>
      </c>
      <c r="I381" s="35">
        <f>VLOOKUP(B381,[16]OUT!$A$3:$B$32,2,0)</f>
        <v>0.91684027777777777</v>
      </c>
    </row>
    <row r="382" spans="1:9" x14ac:dyDescent="0.25">
      <c r="A382" s="34">
        <v>46128</v>
      </c>
      <c r="B382" s="16" t="s">
        <v>22</v>
      </c>
      <c r="C382" s="17" t="s">
        <v>23</v>
      </c>
      <c r="D382" t="s">
        <v>19</v>
      </c>
      <c r="H382" s="35">
        <v>0.77236111111111105</v>
      </c>
      <c r="I382" s="35" t="e">
        <f>VLOOKUP(B382,[17]OUT!$A$3:$B$29,2,0)</f>
        <v>#N/A</v>
      </c>
    </row>
    <row r="383" spans="1:9" x14ac:dyDescent="0.25">
      <c r="A383" s="34">
        <v>46128</v>
      </c>
      <c r="B383" s="18" t="s">
        <v>24</v>
      </c>
      <c r="C383" s="19" t="s">
        <v>25</v>
      </c>
      <c r="D383" t="s">
        <v>19</v>
      </c>
      <c r="H383" s="35">
        <v>0.78240740740740744</v>
      </c>
      <c r="I383" s="35">
        <f>VLOOKUP(B383,[17]OUT!$A$3:$B$29,2,0)</f>
        <v>0.25114583333333335</v>
      </c>
    </row>
    <row r="384" spans="1:9" x14ac:dyDescent="0.25">
      <c r="A384" s="34">
        <v>46128</v>
      </c>
      <c r="B384" s="16" t="s">
        <v>45</v>
      </c>
      <c r="C384" s="23" t="s">
        <v>46</v>
      </c>
      <c r="D384" t="s">
        <v>42</v>
      </c>
      <c r="H384" s="35">
        <v>0.90438657407407408</v>
      </c>
      <c r="I384" s="35">
        <f>VLOOKUP(B384,[17]OUT!$A$3:$B$29,2,0)</f>
        <v>0.25010416666666668</v>
      </c>
    </row>
    <row r="385" spans="1:9" x14ac:dyDescent="0.25">
      <c r="A385" s="34">
        <v>46128</v>
      </c>
      <c r="B385" s="25" t="s">
        <v>80</v>
      </c>
      <c r="C385" s="27" t="s">
        <v>81</v>
      </c>
      <c r="D385" t="s">
        <v>53</v>
      </c>
      <c r="H385" s="35">
        <v>0.90421296296296294</v>
      </c>
      <c r="I385" s="35">
        <f>VLOOKUP(B385,[17]OUT!$A$3:$B$29,2,0)</f>
        <v>0.25180555555555556</v>
      </c>
    </row>
  </sheetData>
  <autoFilter ref="A1:Q385"/>
  <conditionalFormatting sqref="B9">
    <cfRule type="duplicateValues" dxfId="139" priority="652"/>
    <cfRule type="duplicateValues" dxfId="138" priority="653"/>
    <cfRule type="duplicateValues" dxfId="137" priority="654"/>
  </conditionalFormatting>
  <conditionalFormatting sqref="B12">
    <cfRule type="duplicateValues" dxfId="136" priority="692"/>
  </conditionalFormatting>
  <conditionalFormatting sqref="B10:C10">
    <cfRule type="duplicateValues" dxfId="135" priority="639"/>
    <cfRule type="duplicateValues" dxfId="134" priority="640"/>
  </conditionalFormatting>
  <conditionalFormatting sqref="B11:C11">
    <cfRule type="duplicateValues" dxfId="133" priority="637"/>
    <cfRule type="duplicateValues" dxfId="132" priority="638"/>
  </conditionalFormatting>
  <conditionalFormatting sqref="B12:C12">
    <cfRule type="duplicateValues" dxfId="131" priority="693"/>
  </conditionalFormatting>
  <conditionalFormatting sqref="B18:C18">
    <cfRule type="duplicateValues" dxfId="130" priority="690"/>
  </conditionalFormatting>
  <conditionalFormatting sqref="C2">
    <cfRule type="duplicateValues" dxfId="129" priority="674"/>
  </conditionalFormatting>
  <conditionalFormatting sqref="C9">
    <cfRule type="duplicateValues" dxfId="128" priority="645"/>
    <cfRule type="duplicateValues" dxfId="127" priority="646"/>
    <cfRule type="duplicateValues" dxfId="126" priority="647"/>
    <cfRule type="duplicateValues" dxfId="125" priority="648"/>
  </conditionalFormatting>
  <conditionalFormatting sqref="C17">
    <cfRule type="duplicateValues" dxfId="124" priority="676"/>
  </conditionalFormatting>
  <conditionalFormatting sqref="B3:C3">
    <cfRule type="duplicateValues" dxfId="123" priority="568"/>
  </conditionalFormatting>
  <conditionalFormatting sqref="B3:C3">
    <cfRule type="duplicateValues" dxfId="122" priority="569"/>
    <cfRule type="duplicateValues" dxfId="121" priority="570"/>
  </conditionalFormatting>
  <conditionalFormatting sqref="B3:C3">
    <cfRule type="duplicateValues" dxfId="120" priority="567"/>
  </conditionalFormatting>
  <conditionalFormatting sqref="B29:C29">
    <cfRule type="duplicateValues" dxfId="119" priority="277"/>
    <cfRule type="duplicateValues" dxfId="118" priority="278"/>
  </conditionalFormatting>
  <conditionalFormatting sqref="B30:C30">
    <cfRule type="duplicateValues" dxfId="117" priority="285"/>
    <cfRule type="duplicateValues" dxfId="116" priority="286"/>
    <cfRule type="duplicateValues" dxfId="115" priority="287"/>
  </conditionalFormatting>
  <conditionalFormatting sqref="B32:C32">
    <cfRule type="duplicateValues" dxfId="114" priority="296"/>
  </conditionalFormatting>
  <conditionalFormatting sqref="C19">
    <cfRule type="duplicateValues" dxfId="113" priority="292"/>
  </conditionalFormatting>
  <conditionalFormatting sqref="B22:C22">
    <cfRule type="duplicateValues" dxfId="112" priority="271"/>
  </conditionalFormatting>
  <conditionalFormatting sqref="B22:C22">
    <cfRule type="duplicateValues" dxfId="111" priority="272"/>
    <cfRule type="duplicateValues" dxfId="110" priority="273"/>
  </conditionalFormatting>
  <conditionalFormatting sqref="B22:C22">
    <cfRule type="duplicateValues" dxfId="109" priority="270"/>
  </conditionalFormatting>
  <conditionalFormatting sqref="B47">
    <cfRule type="duplicateValues" dxfId="108" priority="255"/>
    <cfRule type="duplicateValues" dxfId="107" priority="256"/>
    <cfRule type="duplicateValues" dxfId="106" priority="257"/>
  </conditionalFormatting>
  <conditionalFormatting sqref="B50:C50">
    <cfRule type="duplicateValues" dxfId="105" priority="246"/>
    <cfRule type="duplicateValues" dxfId="104" priority="247"/>
  </conditionalFormatting>
  <conditionalFormatting sqref="B51:C51">
    <cfRule type="duplicateValues" dxfId="103" priority="244"/>
    <cfRule type="duplicateValues" dxfId="102" priority="245"/>
  </conditionalFormatting>
  <conditionalFormatting sqref="C33">
    <cfRule type="duplicateValues" dxfId="101" priority="261"/>
  </conditionalFormatting>
  <conditionalFormatting sqref="C34">
    <cfRule type="duplicateValues" dxfId="100" priority="262"/>
  </conditionalFormatting>
  <conditionalFormatting sqref="C36">
    <cfRule type="duplicateValues" dxfId="99" priority="259"/>
  </conditionalFormatting>
  <conditionalFormatting sqref="C39">
    <cfRule type="duplicateValues" dxfId="98" priority="258"/>
  </conditionalFormatting>
  <conditionalFormatting sqref="C47">
    <cfRule type="duplicateValues" dxfId="97" priority="248"/>
    <cfRule type="duplicateValues" dxfId="96" priority="249"/>
    <cfRule type="duplicateValues" dxfId="95" priority="250"/>
    <cfRule type="duplicateValues" dxfId="94" priority="251"/>
  </conditionalFormatting>
  <conditionalFormatting sqref="B52:C52">
    <cfRule type="duplicateValues" dxfId="93" priority="124"/>
    <cfRule type="duplicateValues" dxfId="92" priority="125"/>
  </conditionalFormatting>
  <conditionalFormatting sqref="B53:C53">
    <cfRule type="duplicateValues" dxfId="91" priority="126"/>
    <cfRule type="duplicateValues" dxfId="90" priority="127"/>
    <cfRule type="duplicateValues" dxfId="89" priority="128"/>
  </conditionalFormatting>
  <conditionalFormatting sqref="B55:C55">
    <cfRule type="duplicateValues" dxfId="88" priority="130"/>
  </conditionalFormatting>
  <conditionalFormatting sqref="B69">
    <cfRule type="duplicateValues" dxfId="87" priority="111"/>
    <cfRule type="duplicateValues" dxfId="86" priority="112"/>
    <cfRule type="duplicateValues" dxfId="85" priority="113"/>
  </conditionalFormatting>
  <conditionalFormatting sqref="B74">
    <cfRule type="duplicateValues" dxfId="84" priority="118"/>
  </conditionalFormatting>
  <conditionalFormatting sqref="B72:C72">
    <cfRule type="duplicateValues" dxfId="83" priority="105"/>
    <cfRule type="duplicateValues" dxfId="82" priority="106"/>
  </conditionalFormatting>
  <conditionalFormatting sqref="B73:C73">
    <cfRule type="duplicateValues" dxfId="81" priority="103"/>
    <cfRule type="duplicateValues" dxfId="80" priority="104"/>
  </conditionalFormatting>
  <conditionalFormatting sqref="B74:C74">
    <cfRule type="duplicateValues" dxfId="79" priority="119"/>
  </conditionalFormatting>
  <conditionalFormatting sqref="C56">
    <cfRule type="duplicateValues" dxfId="78" priority="116"/>
  </conditionalFormatting>
  <conditionalFormatting sqref="C57">
    <cfRule type="duplicateValues" dxfId="77" priority="117"/>
  </conditionalFormatting>
  <conditionalFormatting sqref="C59">
    <cfRule type="duplicateValues" dxfId="76" priority="115"/>
  </conditionalFormatting>
  <conditionalFormatting sqref="C69">
    <cfRule type="duplicateValues" dxfId="75" priority="107"/>
    <cfRule type="duplicateValues" dxfId="74" priority="108"/>
    <cfRule type="duplicateValues" dxfId="73" priority="109"/>
    <cfRule type="duplicateValues" dxfId="72" priority="110"/>
  </conditionalFormatting>
  <conditionalFormatting sqref="B75:C75">
    <cfRule type="duplicateValues" dxfId="71" priority="92"/>
    <cfRule type="duplicateValues" dxfId="70" priority="93"/>
  </conditionalFormatting>
  <conditionalFormatting sqref="B77:C77">
    <cfRule type="duplicateValues" dxfId="69" priority="94"/>
    <cfRule type="duplicateValues" dxfId="68" priority="95"/>
    <cfRule type="duplicateValues" dxfId="67" priority="96"/>
  </conditionalFormatting>
  <conditionalFormatting sqref="B79:C79">
    <cfRule type="duplicateValues" dxfId="66" priority="98"/>
  </conditionalFormatting>
  <conditionalFormatting sqref="B92">
    <cfRule type="duplicateValues" dxfId="65" priority="79"/>
    <cfRule type="duplicateValues" dxfId="64" priority="80"/>
    <cfRule type="duplicateValues" dxfId="63" priority="81"/>
  </conditionalFormatting>
  <conditionalFormatting sqref="B97">
    <cfRule type="duplicateValues" dxfId="62" priority="86"/>
  </conditionalFormatting>
  <conditionalFormatting sqref="B95:C95">
    <cfRule type="duplicateValues" dxfId="61" priority="73"/>
    <cfRule type="duplicateValues" dxfId="60" priority="74"/>
  </conditionalFormatting>
  <conditionalFormatting sqref="B96:C96">
    <cfRule type="duplicateValues" dxfId="59" priority="71"/>
    <cfRule type="duplicateValues" dxfId="58" priority="72"/>
  </conditionalFormatting>
  <conditionalFormatting sqref="B97:C97">
    <cfRule type="duplicateValues" dxfId="57" priority="87"/>
  </conditionalFormatting>
  <conditionalFormatting sqref="C80">
    <cfRule type="duplicateValues" dxfId="56" priority="85"/>
  </conditionalFormatting>
  <conditionalFormatting sqref="C82">
    <cfRule type="duplicateValues" dxfId="55" priority="83"/>
  </conditionalFormatting>
  <conditionalFormatting sqref="C92">
    <cfRule type="duplicateValues" dxfId="54" priority="75"/>
    <cfRule type="duplicateValues" dxfId="53" priority="76"/>
    <cfRule type="duplicateValues" dxfId="52" priority="77"/>
    <cfRule type="duplicateValues" dxfId="51" priority="78"/>
  </conditionalFormatting>
  <conditionalFormatting sqref="B99:C99">
    <cfRule type="duplicateValues" dxfId="50" priority="62"/>
    <cfRule type="duplicateValues" dxfId="49" priority="63"/>
    <cfRule type="duplicateValues" dxfId="48" priority="64"/>
  </conditionalFormatting>
  <conditionalFormatting sqref="C100">
    <cfRule type="duplicateValues" dxfId="47" priority="65"/>
  </conditionalFormatting>
  <conditionalFormatting sqref="B106">
    <cfRule type="duplicateValues" dxfId="46" priority="47"/>
    <cfRule type="duplicateValues" dxfId="45" priority="48"/>
    <cfRule type="duplicateValues" dxfId="44" priority="49"/>
  </conditionalFormatting>
  <conditionalFormatting sqref="B107">
    <cfRule type="duplicateValues" dxfId="43" priority="54"/>
  </conditionalFormatting>
  <conditionalFormatting sqref="B107:C107">
    <cfRule type="duplicateValues" dxfId="42" priority="55"/>
  </conditionalFormatting>
  <conditionalFormatting sqref="C106">
    <cfRule type="duplicateValues" dxfId="41" priority="43"/>
    <cfRule type="duplicateValues" dxfId="40" priority="44"/>
    <cfRule type="duplicateValues" dxfId="39" priority="45"/>
    <cfRule type="duplicateValues" dxfId="38" priority="46"/>
  </conditionalFormatting>
  <conditionalFormatting sqref="B108:C108">
    <cfRule type="duplicateValues" dxfId="37" priority="28"/>
    <cfRule type="duplicateValues" dxfId="36" priority="29"/>
  </conditionalFormatting>
  <conditionalFormatting sqref="B110:C110">
    <cfRule type="duplicateValues" dxfId="35" priority="30"/>
    <cfRule type="duplicateValues" dxfId="34" priority="31"/>
    <cfRule type="duplicateValues" dxfId="33" priority="32"/>
  </conditionalFormatting>
  <conditionalFormatting sqref="B112:C112">
    <cfRule type="duplicateValues" dxfId="32" priority="34"/>
  </conditionalFormatting>
  <conditionalFormatting sqref="C111">
    <cfRule type="duplicateValues" dxfId="31" priority="33"/>
  </conditionalFormatting>
  <conditionalFormatting sqref="B124">
    <cfRule type="duplicateValues" dxfId="30" priority="15"/>
    <cfRule type="duplicateValues" dxfId="29" priority="16"/>
    <cfRule type="duplicateValues" dxfId="28" priority="17"/>
  </conditionalFormatting>
  <conditionalFormatting sqref="B128">
    <cfRule type="duplicateValues" dxfId="27" priority="22"/>
  </conditionalFormatting>
  <conditionalFormatting sqref="B127:C127">
    <cfRule type="duplicateValues" dxfId="26" priority="9"/>
    <cfRule type="duplicateValues" dxfId="25" priority="10"/>
  </conditionalFormatting>
  <conditionalFormatting sqref="B128:C128">
    <cfRule type="duplicateValues" dxfId="24" priority="23"/>
  </conditionalFormatting>
  <conditionalFormatting sqref="C113">
    <cfRule type="duplicateValues" dxfId="23" priority="20"/>
  </conditionalFormatting>
  <conditionalFormatting sqref="C115">
    <cfRule type="duplicateValues" dxfId="22" priority="19"/>
  </conditionalFormatting>
  <conditionalFormatting sqref="C124">
    <cfRule type="duplicateValues" dxfId="21" priority="11"/>
    <cfRule type="duplicateValues" dxfId="20" priority="12"/>
    <cfRule type="duplicateValues" dxfId="19" priority="13"/>
    <cfRule type="duplicateValues" dxfId="18" priority="14"/>
  </conditionalFormatting>
  <conditionalFormatting sqref="B35">
    <cfRule type="duplicateValues" dxfId="17" priority="694"/>
    <cfRule type="duplicateValues" dxfId="16" priority="695"/>
    <cfRule type="duplicateValues" dxfId="15" priority="696"/>
  </conditionalFormatting>
  <conditionalFormatting sqref="C35">
    <cfRule type="duplicateValues" dxfId="14" priority="697"/>
  </conditionalFormatting>
  <conditionalFormatting sqref="B58">
    <cfRule type="duplicateValues" dxfId="13" priority="698"/>
    <cfRule type="duplicateValues" dxfId="12" priority="699"/>
    <cfRule type="duplicateValues" dxfId="11" priority="700"/>
  </conditionalFormatting>
  <conditionalFormatting sqref="C58">
    <cfRule type="duplicateValues" dxfId="10" priority="701"/>
  </conditionalFormatting>
  <conditionalFormatting sqref="B81">
    <cfRule type="duplicateValues" dxfId="9" priority="702"/>
    <cfRule type="duplicateValues" dxfId="8" priority="703"/>
    <cfRule type="duplicateValues" dxfId="7" priority="704"/>
  </conditionalFormatting>
  <conditionalFormatting sqref="C81">
    <cfRule type="duplicateValues" dxfId="6" priority="705"/>
  </conditionalFormatting>
  <conditionalFormatting sqref="B114">
    <cfRule type="duplicateValues" dxfId="5" priority="706"/>
    <cfRule type="duplicateValues" dxfId="4" priority="707"/>
    <cfRule type="duplicateValues" dxfId="3" priority="708"/>
  </conditionalFormatting>
  <conditionalFormatting sqref="C114">
    <cfRule type="duplicateValues" dxfId="2" priority="709"/>
  </conditionalFormatting>
  <conditionalFormatting sqref="B145:C145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rough</vt:lpstr>
      <vt:lpstr>April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YASHASVI TAK</dc:creator>
  <cp:lastModifiedBy>QURIE PUSHPA TOPNO</cp:lastModifiedBy>
  <dcterms:created xsi:type="dcterms:W3CDTF">2026-04-02T09:23:04Z</dcterms:created>
  <dcterms:modified xsi:type="dcterms:W3CDTF">2026-04-24T10:26:51Z</dcterms:modified>
</cp:coreProperties>
</file>